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 Cover" sheetId="1" r:id="rId5"/>
    <sheet state="visible" name="Monthly Dashboard" sheetId="2" r:id="rId6"/>
    <sheet state="visible" name="Pipeline Tracker" sheetId="3" r:id="rId7"/>
    <sheet state="visible" name="Raw Data" sheetId="4" r:id="rId8"/>
    <sheet state="visible" name="Cleaned Data" sheetId="5" r:id="rId9"/>
    <sheet state="visible" name="Follow-Up Report" sheetId="6" r:id="rId10"/>
    <sheet state="visible" name="Weekly Admin Report" sheetId="7" r:id="rId11"/>
    <sheet state="visible" name="AI Workflow" sheetId="8" r:id="rId12"/>
    <sheet state="visible" name="Document Report" sheetId="9" r:id="rId13"/>
    <sheet state="visible" name="What This Demonstrates" sheetId="10" r:id="rId14"/>
  </sheets>
  <definedNames/>
  <calcPr/>
</workbook>
</file>

<file path=xl/sharedStrings.xml><?xml version="1.0" encoding="utf-8"?>
<sst xmlns="http://schemas.openxmlformats.org/spreadsheetml/2006/main" count="568" uniqueCount="376">
  <si>
    <t>REPORTS &amp; SPREADSHEET PROJECT SAMPLE PORTFOLIO</t>
  </si>
  <si>
    <t>LEAD / CLIENT PIPELINE TRACKER</t>
  </si>
  <si>
    <t>DATA CLEANUP SAMPLE — RAW INPUT</t>
  </si>
  <si>
    <t>PORTFOLIO WORK SAMPLE — FICTIONAL DATA</t>
  </si>
  <si>
    <t>Admin Assistant — Reports, Data &amp; General Admin | Australian Business Support</t>
  </si>
  <si>
    <t>CRM-style tracker with standardized stages, follow-up visibility, and overdue prioritization</t>
  </si>
  <si>
    <t>Client Name</t>
  </si>
  <si>
    <t>Prepared by Kevin Digal — demonstrating transferable experience in reporting, Excel trackers, CRM records, data entry, follow-ups, quotations, and administrative coordination.</t>
  </si>
  <si>
    <t>Client / Lead Name</t>
  </si>
  <si>
    <t>Enquiry Date</t>
  </si>
  <si>
    <t>Service</t>
  </si>
  <si>
    <t>Amount</t>
  </si>
  <si>
    <t>Stage</t>
  </si>
  <si>
    <t>Service Type</t>
  </si>
  <si>
    <t>Deal / Loan Value</t>
  </si>
  <si>
    <t>Owner</t>
  </si>
  <si>
    <t>Email</t>
  </si>
  <si>
    <t>Assigned Owner</t>
  </si>
  <si>
    <t>Issue Flag</t>
  </si>
  <si>
    <t>Last Contact Date</t>
  </si>
  <si>
    <t>Next Follow-Up Date</t>
  </si>
  <si>
    <t>Days Since Last Contact</t>
  </si>
  <si>
    <t>Status</t>
  </si>
  <si>
    <t>Notes</t>
  </si>
  <si>
    <t>Follow-Up Priority</t>
  </si>
  <si>
    <t>ava collins</t>
  </si>
  <si>
    <t>2/9/26</t>
  </si>
  <si>
    <t>home refinance</t>
  </si>
  <si>
    <t>Ava Collins</t>
  </si>
  <si>
    <t>620000</t>
  </si>
  <si>
    <t>docs requested</t>
  </si>
  <si>
    <t>kevin</t>
  </si>
  <si>
    <t>ava@example.com</t>
  </si>
  <si>
    <t>CORE CAPABILITIES</t>
  </si>
  <si>
    <t>Home Loan Refinance</t>
  </si>
  <si>
    <t>PORTFOLIO CONTENTS</t>
  </si>
  <si>
    <t>Accurate spreadsheet management</t>
  </si>
  <si>
    <t>Data cleanup &amp; quality control</t>
  </si>
  <si>
    <t>1. Monthly Business Performance Report</t>
  </si>
  <si>
    <t>Documents Requested</t>
  </si>
  <si>
    <t>Kevin</t>
  </si>
  <si>
    <t>Business reporting</t>
  </si>
  <si>
    <t>CRM / pipeline organization</t>
  </si>
  <si>
    <t>2. Lead / Client Pipeline Tracker</t>
  </si>
  <si>
    <t>Follow-up tracking</t>
  </si>
  <si>
    <t>Executive-ready summaries</t>
  </si>
  <si>
    <t>3. Outstanding Follow-Up Report</t>
  </si>
  <si>
    <t>02-Sep-2026</t>
  </si>
  <si>
    <t>Home Refinance</t>
  </si>
  <si>
    <t>Responsible AI use</t>
  </si>
  <si>
    <t>AUD 620,000</t>
  </si>
  <si>
    <t>Waiting on Client</t>
  </si>
  <si>
    <t>Remote admin coordination</t>
  </si>
  <si>
    <t>Income documents outstanding</t>
  </si>
  <si>
    <t>4. Data Cleanup &amp; Quality-Control Sample</t>
  </si>
  <si>
    <t>LIAM foster</t>
  </si>
  <si>
    <t>2026/09/03</t>
  </si>
  <si>
    <t>investment loan</t>
  </si>
  <si>
    <t>845000</t>
  </si>
  <si>
    <t>app submitted</t>
  </si>
  <si>
    <t>ADVISER A</t>
  </si>
  <si>
    <t>5. Weekly Executive Admin Report</t>
  </si>
  <si>
    <t>liam@example.com</t>
  </si>
  <si>
    <t>6. AI-Assisted Reporting Workflow</t>
  </si>
  <si>
    <t>Mia Hughes</t>
  </si>
  <si>
    <t>4 Sep 26</t>
  </si>
  <si>
    <t>First home buyer</t>
  </si>
  <si>
    <t>510000</t>
  </si>
  <si>
    <t>approved</t>
  </si>
  <si>
    <t>Adviser B</t>
  </si>
  <si>
    <t>mia@example.com</t>
  </si>
  <si>
    <t>7. Document Formatting Sample</t>
  </si>
  <si>
    <t>Noah  Bennett</t>
  </si>
  <si>
    <t>05/09/2026</t>
  </si>
  <si>
    <t>Asset finance</t>
  </si>
  <si>
    <t>98,000</t>
  </si>
  <si>
    <t>contacted</t>
  </si>
  <si>
    <t>Liam Foster</t>
  </si>
  <si>
    <t>Investment Loan</t>
  </si>
  <si>
    <t>Application Submitted</t>
  </si>
  <si>
    <t>Adviser A</t>
  </si>
  <si>
    <t>Olivia Ward</t>
  </si>
  <si>
    <t>6-9-26</t>
  </si>
  <si>
    <t>Waiting on Lender</t>
  </si>
  <si>
    <t>home loan refinance</t>
  </si>
  <si>
    <t>Valuation in progress</t>
  </si>
  <si>
    <t>710000</t>
  </si>
  <si>
    <t>settled</t>
  </si>
  <si>
    <t>adviser a</t>
  </si>
  <si>
    <t>olivia@example.com</t>
  </si>
  <si>
    <t>First Home Buyer</t>
  </si>
  <si>
    <t>Ethan Brooks</t>
  </si>
  <si>
    <t>07/09/26</t>
  </si>
  <si>
    <t>Commercial lending</t>
  </si>
  <si>
    <t>Approved</t>
  </si>
  <si>
    <t>1200000</t>
  </si>
  <si>
    <t>documents requested</t>
  </si>
  <si>
    <t>Positioning note: This portfolio does not claim direct finance-industry employment. It demonstrates how Kevin's existing admin, reporting, CRM, spreadsheet, and business-support experience can transfer into a finance/professional-services environment.</t>
  </si>
  <si>
    <t>ethan@example.com</t>
  </si>
  <si>
    <t>On Track</t>
  </si>
  <si>
    <t>Approval received; settlement prep</t>
  </si>
  <si>
    <t>Sophie Turner</t>
  </si>
  <si>
    <t>Noah Bennett</t>
  </si>
  <si>
    <t>08 Sep 2026</t>
  </si>
  <si>
    <t>personal loan</t>
  </si>
  <si>
    <t>Asset Finance</t>
  </si>
  <si>
    <t>45000</t>
  </si>
  <si>
    <t>NEW</t>
  </si>
  <si>
    <t>Contacted</t>
  </si>
  <si>
    <t>sophie@example.com</t>
  </si>
  <si>
    <t>Overdue</t>
  </si>
  <si>
    <t>Follow-up required on supporting docs</t>
  </si>
  <si>
    <t>Jack Murphy</t>
  </si>
  <si>
    <t>08/09/2026</t>
  </si>
  <si>
    <t>930000</t>
  </si>
  <si>
    <t>application submitted</t>
  </si>
  <si>
    <t>jack@example.com</t>
  </si>
  <si>
    <t>Settled</t>
  </si>
  <si>
    <t>Closed</t>
  </si>
  <si>
    <t>Grace Wilson</t>
  </si>
  <si>
    <t>Settled successfully</t>
  </si>
  <si>
    <t>9/9/26</t>
  </si>
  <si>
    <t>first home buyer</t>
  </si>
  <si>
    <t>grace@example.com</t>
  </si>
  <si>
    <t>Commercial Lending</t>
  </si>
  <si>
    <t>Financial statements incomplete</t>
  </si>
  <si>
    <t>Leo Carter</t>
  </si>
  <si>
    <t>10/09/2026</t>
  </si>
  <si>
    <t>680000</t>
  </si>
  <si>
    <t>Personal Loan</t>
  </si>
  <si>
    <t>APPROVED</t>
  </si>
  <si>
    <t>leo@example.com</t>
  </si>
  <si>
    <t>New Enquiry</t>
  </si>
  <si>
    <t>Initial call scheduled</t>
  </si>
  <si>
    <t>Credit assessment pending</t>
  </si>
  <si>
    <t>Needs borrowing capacity follow-up</t>
  </si>
  <si>
    <t>Settlement booked</t>
  </si>
  <si>
    <t>Chloe Martin</t>
  </si>
  <si>
    <t>Lost / Closed</t>
  </si>
  <si>
    <t>Client deferred purchase</t>
  </si>
  <si>
    <t>Henry Scott</t>
  </si>
  <si>
    <t>Awaiting BAS and lease documents</t>
  </si>
  <si>
    <t>Ella Green</t>
  </si>
  <si>
    <t>Submitted to lender</t>
  </si>
  <si>
    <t>Lucas Price</t>
  </si>
  <si>
    <t>Rate options sent; awaiting response</t>
  </si>
  <si>
    <t>Isla Cooper</t>
  </si>
  <si>
    <t>Conditions being cleared</t>
  </si>
  <si>
    <t>Mason Kelly</t>
  </si>
  <si>
    <t>Ruby Adams</t>
  </si>
  <si>
    <t>Needs initial qualification call</t>
  </si>
  <si>
    <t>Archer Lee</t>
  </si>
  <si>
    <t>One bank statement missing</t>
  </si>
  <si>
    <t>Zoe Parker</t>
  </si>
  <si>
    <t>Property search ongoing</t>
  </si>
  <si>
    <t>Finn Taylor</t>
  </si>
  <si>
    <t>No lender update for 11 days</t>
  </si>
  <si>
    <t>MONTHLY BUSINESS PERFORMANCE REPORT</t>
  </si>
  <si>
    <t>Performance snapshot — January to August 2026</t>
  </si>
  <si>
    <t>Month</t>
  </si>
  <si>
    <t>Monthly Revenue</t>
  </si>
  <si>
    <t>Enquiries / Leads</t>
  </si>
  <si>
    <t>Applications Received</t>
  </si>
  <si>
    <t>Approved Applications</t>
  </si>
  <si>
    <t>Settled Deals</t>
  </si>
  <si>
    <t>Settled Loan Volume</t>
  </si>
  <si>
    <t>Conversion Rate</t>
  </si>
  <si>
    <t>Average Deal Value</t>
  </si>
  <si>
    <t>MoM Revenue Change</t>
  </si>
  <si>
    <t>Outstanding Follow-Ups</t>
  </si>
  <si>
    <t>Jan 2026</t>
  </si>
  <si>
    <t>—</t>
  </si>
  <si>
    <t>Feb 2026</t>
  </si>
  <si>
    <t>Mar 2026</t>
  </si>
  <si>
    <t>Apr 2026</t>
  </si>
  <si>
    <t>May 2026</t>
  </si>
  <si>
    <t>Jun 2026</t>
  </si>
  <si>
    <t>Jul 2026</t>
  </si>
  <si>
    <t>Aug 2026</t>
  </si>
  <si>
    <t>CURRENT SNAPSHOT — AUGUST 2026</t>
  </si>
  <si>
    <t>Revenue</t>
  </si>
  <si>
    <t>Enquiries</t>
  </si>
  <si>
    <t>Applications</t>
  </si>
  <si>
    <t>KEY INSIGHTS FOR THE BUSINESS OWNER</t>
  </si>
  <si>
    <t>• August recorded the strongest monthly revenue in the sample period at AUD 229,000, up from AUD 213,500 in July.</t>
  </si>
  <si>
    <t>• Enquiries increased to 61 in August, while 28 deals settled — the strongest settled-deal result across the eight-month sample.</t>
  </si>
  <si>
    <t>• Outstanding follow-ups reduced to 5 in August, supporting a cleaner pipeline and fewer open loops.</t>
  </si>
  <si>
    <t>• Average settled deal value remained strong because settled loan volume grew alongside deal count.</t>
  </si>
  <si>
    <t>• The main administrative opportunity is to maintain disciplined follow-up and document tracking as enquiry volume continues to rise.</t>
  </si>
  <si>
    <t>DATA CLEANUP SAMPLE — CLEANED &amp; STANDARDIZED</t>
  </si>
  <si>
    <t>OUTSTANDING FOLLOW-UP REPORT</t>
  </si>
  <si>
    <t>BEFORE VS CLEANED DATA</t>
  </si>
  <si>
    <t>Executive Summary: 7 records require immediate attention in this sample, including overdue follow-ups, client-document waits, lender waits, and items with more than 7 days since last contact.</t>
  </si>
  <si>
    <t>Issue</t>
  </si>
  <si>
    <t>Before</t>
  </si>
  <si>
    <t>Cleaned Approach</t>
  </si>
  <si>
    <t>Why It Matters</t>
  </si>
  <si>
    <t>Verification Note</t>
  </si>
  <si>
    <t>Capitalization</t>
  </si>
  <si>
    <t>ava collins / LIAM foster</t>
  </si>
  <si>
    <t>Client / Lead</t>
  </si>
  <si>
    <t>Ava Collins / Liam Foster</t>
  </si>
  <si>
    <t>Professional, consistent records</t>
  </si>
  <si>
    <t>Priority</t>
  </si>
  <si>
    <t>Fixed</t>
  </si>
  <si>
    <t>Next Action</t>
  </si>
  <si>
    <t>Due Date</t>
  </si>
  <si>
    <t>Reason / Trigger</t>
  </si>
  <si>
    <t>HIGH</t>
  </si>
  <si>
    <t>Request outstanding income documents</t>
  </si>
  <si>
    <t>Waiting on client + due date passed</t>
  </si>
  <si>
    <t>Escalate only if documents remain outstanding after follow-up</t>
  </si>
  <si>
    <t>Duplicate merged; source values matched</t>
  </si>
  <si>
    <t>Dates</t>
  </si>
  <si>
    <t>2/9/26 / 2026/09/03</t>
  </si>
  <si>
    <t>02-Sep-2026 / 03-Sep-2026</t>
  </si>
  <si>
    <t>Sortable and consistent</t>
  </si>
  <si>
    <t>Follow up on supporting documents</t>
  </si>
  <si>
    <t>Overdue follow-up</t>
  </si>
  <si>
    <t>Client previously requested time to gather documents</t>
  </si>
  <si>
    <t>Request BAS and lease documents</t>
  </si>
  <si>
    <t>Standardized capitalization and stage</t>
  </si>
  <si>
    <t>12+ days since last contact</t>
  </si>
  <si>
    <t>Commercial file cannot progress without documents</t>
  </si>
  <si>
    <t>Stages</t>
  </si>
  <si>
    <t>docs requested / NEW</t>
  </si>
  <si>
    <t>Documents Requested / New Enquiry</t>
  </si>
  <si>
    <t>Reliable reporting and filters</t>
  </si>
  <si>
    <t>MEDIUM</t>
  </si>
  <si>
    <t>Check lender credit assessment status</t>
  </si>
  <si>
    <t>Waiting on lender</t>
  </si>
  <si>
    <t>Provide client update after lender response</t>
  </si>
  <si>
    <t>Date and service standardized</t>
  </si>
  <si>
    <t>Contact client regarding borrowing capacity</t>
  </si>
  <si>
    <t>Duplicates</t>
  </si>
  <si>
    <t>No response since 19 Sep</t>
  </si>
  <si>
    <t>Ava / Grace duplicated</t>
  </si>
  <si>
    <t>Merged or removed after verification</t>
  </si>
  <si>
    <t>Prevents double counting</t>
  </si>
  <si>
    <t>Complete initial qualification call</t>
  </si>
  <si>
    <t>New enquiry overdue</t>
  </si>
  <si>
    <t>Prevent lead from going cold</t>
  </si>
  <si>
    <t>Not publicly provided</t>
  </si>
  <si>
    <t>Email missing — flagged, not guessed</t>
  </si>
  <si>
    <t>Missing values</t>
  </si>
  <si>
    <t>Blank email / blank amount</t>
  </si>
  <si>
    <t>Flagged for confirmation</t>
  </si>
  <si>
    <t>No guessing or invented data</t>
  </si>
  <si>
    <t>Flagged</t>
  </si>
  <si>
    <t>Request lender update</t>
  </si>
  <si>
    <t>11 days since last contact</t>
  </si>
  <si>
    <t>No lender progress update recorded</t>
  </si>
  <si>
    <t>Standardized date, service and owner</t>
  </si>
  <si>
    <t>Currency</t>
  </si>
  <si>
    <t>620000 / AUD 620,000</t>
  </si>
  <si>
    <t>Consistent financial formatting</t>
  </si>
  <si>
    <t>Standardized date</t>
  </si>
  <si>
    <t>AUTOMATION / LOGIC USED</t>
  </si>
  <si>
    <t>Mapped 'NEW' to approved stage list</t>
  </si>
  <si>
    <t>QUALITY CONTROL CHECKLIST</t>
  </si>
  <si>
    <t>Next Follow-Up Date &lt; 25-Sep-2026 and file is not closed</t>
  </si>
  <si>
    <t>☐ Verify totals</t>
  </si>
  <si>
    <t>Waiting on documents</t>
  </si>
  <si>
    <t>Status = Waiting on Client or Stage = Documents Requested</t>
  </si>
  <si>
    <t>Duplicate removed; amount requires confirmation</t>
  </si>
  <si>
    <t>Waiting on approval / lender</t>
  </si>
  <si>
    <t>☐ Check duplicate records</t>
  </si>
  <si>
    <t>Status = Waiting on Lender</t>
  </si>
  <si>
    <t>No activity &gt; 7 days</t>
  </si>
  <si>
    <t>Days Since Last Contact &gt; 7</t>
  </si>
  <si>
    <t>Standardized stage label</t>
  </si>
  <si>
    <t>☐ Check formulas</t>
  </si>
  <si>
    <t>☐ Review missing fields</t>
  </si>
  <si>
    <t>☐ Validate dates</t>
  </si>
  <si>
    <t>WEEKLY EXECUTIVE ADMIN REPORT</t>
  </si>
  <si>
    <t>☐ Standardize formatting</t>
  </si>
  <si>
    <t>☐ Compare summary figures against source data</t>
  </si>
  <si>
    <t>☐ Final manual review before submission</t>
  </si>
  <si>
    <t>Week ending 25 September 2026 | Founder-ready one-page summary</t>
  </si>
  <si>
    <t>COMPLETED THIS WEEK</t>
  </si>
  <si>
    <t>• Updated and cleaned pipeline tracker; standardized stage labels and date formats.</t>
  </si>
  <si>
    <t>• Prepared monthly performance summary and checked revenue totals against source data.</t>
  </si>
  <si>
    <t>• Closed 5 completed follow-up items and updated next actions.</t>
  </si>
  <si>
    <t>OUTSTANDING ITEMS</t>
  </si>
  <si>
    <t>• 7 follow-ups still require action or confirmation.</t>
  </si>
  <si>
    <t>• 1 client amount field remains unverified and is flagged instead of guessed.</t>
  </si>
  <si>
    <t>WAITING ON CLIENT / THIRD PARTY</t>
  </si>
  <si>
    <t>• 3 files are waiting on client documents.</t>
  </si>
  <si>
    <t>• 2 matters are waiting on lender / third-party updates.</t>
  </si>
  <si>
    <t>IMPORTANT DEADLINES</t>
  </si>
  <si>
    <t>• Complete overdue follow-ups by 25 Sep.</t>
  </si>
  <si>
    <t>• Prepare next reporting snapshot by 30 Sep.</t>
  </si>
  <si>
    <t>RISKS / ISSUES</t>
  </si>
  <si>
    <t>• Rising enquiry volume may create more open loops without disciplined next-action tracking.</t>
  </si>
  <si>
    <t>• Missing data can distort reporting if not flagged before summary preparation.</t>
  </si>
  <si>
    <t>DECISIONS NEEDED</t>
  </si>
  <si>
    <t>• Confirm whether commercial files over AUD 1M should be escalated after 5 or 7 days without documents.</t>
  </si>
  <si>
    <t>NEXT WEEK PRIORITIES</t>
  </si>
  <si>
    <t>• Clear overdue follow-ups first.</t>
  </si>
  <si>
    <t>• Reconcile new enquiries against CRM records.</t>
  </si>
  <si>
    <t>• Prepare end-of-month performance report and exception list.</t>
  </si>
  <si>
    <t>AI-ASSISTED REPORTING WORKFLOW</t>
  </si>
  <si>
    <t>“AI helps improve speed and clarity, but it does not replace verification. Every number and statement is checked against the source before delivery.”</t>
  </si>
  <si>
    <t>Step</t>
  </si>
  <si>
    <t>What I Do</t>
  </si>
  <si>
    <t>1</t>
  </si>
  <si>
    <t>Gather source data</t>
  </si>
  <si>
    <t>Collect the original spreadsheet, CRM export, notes, or source documents.</t>
  </si>
  <si>
    <t>2</t>
  </si>
  <si>
    <t>Clean and verify</t>
  </si>
  <si>
    <t>Standardize fields, flag missing values, remove duplicates, and verify dates / totals.</t>
  </si>
  <si>
    <t>3</t>
  </si>
  <si>
    <t>Use AI selectively</t>
  </si>
  <si>
    <t>Use AI to summarize trends, draft commentary, or improve wording / structure.</t>
  </si>
  <si>
    <t>4</t>
  </si>
  <si>
    <t>Check every statement</t>
  </si>
  <si>
    <t>Compare AI-generated observations directly against the original numbers and source notes.</t>
  </si>
  <si>
    <t>5</t>
  </si>
  <si>
    <t>Recalculate numbers</t>
  </si>
  <si>
    <t>Verify formulas, totals, percentages, and month-on-month calculations manually or formulaically.</t>
  </si>
  <si>
    <t>6</t>
  </si>
  <si>
    <t>Remove unsupported claims</t>
  </si>
  <si>
    <t>Delete assumptions, invented explanations, or anything the source data does not prove.</t>
  </si>
  <si>
    <t>7</t>
  </si>
  <si>
    <t>Proofread final output</t>
  </si>
  <si>
    <t>Check spelling, names, dates, formatting, consistency, and audience-appropriate tone.</t>
  </si>
  <si>
    <t>8</t>
  </si>
  <si>
    <t>Submit after QC</t>
  </si>
  <si>
    <t>Deliver only after the report passes the quality-control checklist.</t>
  </si>
  <si>
    <t>BUSINESS PERFORMANCE &amp; ADMINISTRATION REPORT</t>
  </si>
  <si>
    <t>WHAT THIS DEMONSTRATES</t>
  </si>
  <si>
    <t>Reporting period: August 2026 | Prepared as a document-formatting sample</t>
  </si>
  <si>
    <t>EXECUTIVE SUMMARY</t>
  </si>
  <si>
    <t>Capability</t>
  </si>
  <si>
    <t>August showed the strongest activity in this fictional eight-month sample. Revenue reached AUD 229,000 from 61 enquiries, with 42 applications received and 28 settled deals. Outstanding follow-ups reduced to five. The priority for administration is to maintain accurate next-action tracking as enquiry volume rises, while continuing to flag missing data and overdue items before they affect reporting quality.</t>
  </si>
  <si>
    <t>Evidence in this portfolio</t>
  </si>
  <si>
    <t>Structured tables, consistent formats, formula-driven calculations, and readable layout.</t>
  </si>
  <si>
    <t>Data cleanup and quality control</t>
  </si>
  <si>
    <t>KEY METRICS</t>
  </si>
  <si>
    <t>Duplicates removed, missing values flagged, dates/stages standardized, no guessing.</t>
  </si>
  <si>
    <t>Metric</t>
  </si>
  <si>
    <t>Comment</t>
  </si>
  <si>
    <t>Reporting and business insights</t>
  </si>
  <si>
    <t>Raw numbers translated into concise observations that help a business owner act.</t>
  </si>
  <si>
    <t>Monthly revenue</t>
  </si>
  <si>
    <t>Highest month in sample period</t>
  </si>
  <si>
    <t>Overdue and waiting items surfaced with clear owners, due dates, and next actions.</t>
  </si>
  <si>
    <t>Enquiries / leads</t>
  </si>
  <si>
    <t>Up from 58 in July</t>
  </si>
  <si>
    <t>Applications received</t>
  </si>
  <si>
    <t>Strong conversion into active applications</t>
  </si>
  <si>
    <t>Founder-facing reporting designed to reduce time spent reviewing raw data.</t>
  </si>
  <si>
    <t>Approved applications</t>
  </si>
  <si>
    <t>Most approvals in sample period</t>
  </si>
  <si>
    <t>Settled deals</t>
  </si>
  <si>
    <t>Highest settled count in sample period</t>
  </si>
  <si>
    <t>AI is used for speed and drafting only after data is cleaned; outputs are verified before delivery.</t>
  </si>
  <si>
    <t>Outstanding follow-ups</t>
  </si>
  <si>
    <t>Lowest open follow-up count in sample period</t>
  </si>
  <si>
    <t>Reliable administrative support</t>
  </si>
  <si>
    <t>Work is organized around ownership, deadlines, communication, and closing open loops.</t>
  </si>
  <si>
    <t>Attention to detail</t>
  </si>
  <si>
    <t>KEY FINDINGS</t>
  </si>
  <si>
    <t>Every example prioritizes consistency, verification, and transparent handling of uncertainty.</t>
  </si>
  <si>
    <t>• Enquiry and settlement activity increased together, suggesting the pipeline remained productive rather than simply larger.</t>
  </si>
  <si>
    <t>• Lower outstanding follow-ups indicate stronger administrative closure and fewer unattended items.</t>
  </si>
  <si>
    <t>• Files waiting on client documents or lender responses should remain visible in exception reporting.</t>
  </si>
  <si>
    <t>Candidate positioning: Kevin Digal brings transferable experience across reporting, Excel trackers, CRM records, data entry, follow-ups, quotations, customer communication, and administrative coordination. This sample shows how those skills can support a finance-industry business owner without claiming prior finance-industry employment.</t>
  </si>
  <si>
    <t>OUTSTANDING ACTIONS</t>
  </si>
  <si>
    <t>• Complete the five outstanding follow-ups and record the outcome in the tracker.</t>
  </si>
  <si>
    <t>• Confirm any missing financial fields before the next monthly report is prepared.</t>
  </si>
  <si>
    <t>• Review files with more than seven days since last contact.</t>
  </si>
  <si>
    <t>RECOMMENDATIONS / NEXT STEPS</t>
  </si>
  <si>
    <t>• Keep a weekly exception report for overdue follow-ups, missing documents, and lender waits.</t>
  </si>
  <si>
    <t>• Use consistent status labels and next-action dates so reports remain trustworthy.</t>
  </si>
  <si>
    <t>• Continue using AI only after source data has been cleaned, and verify every generated statement before delivery.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</si>
</sst>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&quot;AUD &quot;$#,##0"/>
    <numFmt numFmtId="166" formatCode="0.0%"/>
  </numFmts>
  <fonts count="8">
    <font>
      <sz val="11.0"/>
      <color rgb="FF000000"/>
      <name val="Carlito"/>
      <scheme val="minor"/>
    </font>
    <font>
      <b/>
      <sz val="22.0"/>
      <color rgb="FFFFFFFF"/>
      <name val="Arial"/>
    </font>
    <font>
      <b/>
      <sz val="10.0"/>
      <color rgb="FF263238"/>
      <name val="Arial"/>
    </font>
    <font>
      <sz val="10.0"/>
      <color rgb="FF263238"/>
      <name val="Arial"/>
    </font>
    <font>
      <sz val="11.0"/>
      <color rgb="FFFFFFFF"/>
      <name val="Arial"/>
    </font>
    <font>
      <i/>
      <sz val="10.0"/>
      <color rgb="FF263238"/>
      <name val="Arial"/>
    </font>
    <font>
      <b/>
      <i/>
      <sz val="10.0"/>
      <color rgb="FF263238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0F2233"/>
        <bgColor rgb="FF0F2233"/>
      </patternFill>
    </fill>
    <fill>
      <patternFill patternType="solid">
        <fgColor rgb="FFEEF3F7"/>
        <bgColor rgb="FFEEF3F7"/>
      </patternFill>
    </fill>
    <fill>
      <patternFill patternType="solid">
        <fgColor rgb="FF17324D"/>
        <bgColor rgb="FF17324D"/>
      </patternFill>
    </fill>
    <fill>
      <patternFill patternType="solid">
        <fgColor rgb="FFEAF0F5"/>
        <bgColor rgb="FFEAF0F5"/>
      </patternFill>
    </fill>
    <fill>
      <patternFill patternType="solid">
        <fgColor rgb="FFFFFFFF"/>
        <bgColor rgb="FFFFFFFF"/>
      </patternFill>
    </fill>
    <fill>
      <patternFill patternType="solid">
        <fgColor rgb="FF4F6F8F"/>
        <bgColor rgb="FF4F6F8F"/>
      </patternFill>
    </fill>
    <fill>
      <patternFill patternType="solid">
        <fgColor rgb="FFF7F9FB"/>
        <bgColor rgb="FFF7F9FB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vertical="center"/>
    </xf>
    <xf borderId="0" fillId="0" fontId="3" numFmtId="0" xfId="0" applyFont="1"/>
    <xf borderId="0" fillId="3" fontId="2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5" fontId="2" numFmtId="0" xfId="0" applyAlignment="1" applyFill="1" applyFont="1">
      <alignment vertical="center"/>
    </xf>
    <xf borderId="1" fillId="4" fontId="2" numFmtId="0" xfId="0" applyAlignment="1" applyBorder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7" fontId="2" numFmtId="0" xfId="0" applyAlignment="1" applyFill="1" applyFont="1">
      <alignment vertical="center"/>
    </xf>
    <xf borderId="0" fillId="0" fontId="3" numFmtId="165" xfId="0" applyAlignment="1" applyFont="1" applyNumberFormat="1">
      <alignment shrinkToFit="0" wrapText="1"/>
    </xf>
    <xf borderId="0" fillId="8" fontId="3" numFmtId="0" xfId="0" applyAlignment="1" applyFill="1" applyFont="1">
      <alignment vertical="center"/>
    </xf>
    <xf borderId="0" fillId="8" fontId="3" numFmtId="0" xfId="0" applyFill="1" applyFont="1"/>
    <xf borderId="0" fillId="6" fontId="3" numFmtId="0" xfId="0" applyAlignment="1" applyFill="1" applyFont="1">
      <alignment vertical="center"/>
    </xf>
    <xf borderId="0" fillId="6" fontId="3" numFmtId="0" xfId="0" applyFill="1" applyFont="1"/>
    <xf borderId="0" fillId="8" fontId="5" numFmtId="0" xfId="0" applyAlignment="1" applyFill="1" applyFont="1">
      <alignment shrinkToFit="0" wrapText="1"/>
    </xf>
    <xf borderId="0" fillId="0" fontId="3" numFmtId="166" xfId="0" applyAlignment="1" applyFont="1" applyNumberFormat="1">
      <alignment shrinkToFit="0" wrapText="1"/>
    </xf>
    <xf borderId="0" fillId="5" fontId="2" numFmtId="0" xfId="0" applyAlignment="1" applyFill="1" applyFont="1">
      <alignment horizontal="center"/>
    </xf>
    <xf borderId="0" fillId="6" fontId="2" numFmtId="165" xfId="0" applyAlignment="1" applyFill="1" applyFont="1" applyNumberFormat="1">
      <alignment horizontal="center" vertical="center"/>
    </xf>
    <xf borderId="0" fillId="6" fontId="2" numFmtId="0" xfId="0" applyAlignment="1" applyFill="1" applyFont="1">
      <alignment horizontal="center" vertical="center"/>
    </xf>
    <xf borderId="0" fillId="8" fontId="3" numFmtId="0" xfId="0" applyAlignment="1" applyFill="1" applyFont="1">
      <alignment shrinkToFit="0" wrapText="1"/>
    </xf>
    <xf borderId="0" fillId="6" fontId="3" numFmtId="0" xfId="0" applyAlignment="1" applyFill="1" applyFont="1">
      <alignment shrinkToFit="0" wrapText="1"/>
    </xf>
    <xf borderId="0" fillId="5" fontId="2" numFmtId="0" xfId="0" applyAlignment="1" applyFill="1" applyFont="1">
      <alignment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6" fontId="3" numFmtId="0" xfId="0" applyAlignment="1" applyBorder="1" applyFill="1" applyFont="1">
      <alignment shrinkToFit="0" vertical="center" wrapText="1"/>
    </xf>
    <xf borderId="2" fillId="6" fontId="3" numFmtId="0" xfId="0" applyAlignment="1" applyBorder="1" applyFill="1" applyFont="1">
      <alignment shrinkToFit="0" vertical="center" wrapText="1"/>
    </xf>
    <xf borderId="1" fillId="8" fontId="3" numFmtId="0" xfId="0" applyAlignment="1" applyBorder="1" applyFill="1" applyFont="1">
      <alignment shrinkToFit="0" vertical="center" wrapText="1"/>
    </xf>
    <xf borderId="2" fillId="8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2" fillId="5" fontId="2" numFmtId="0" xfId="0" applyAlignment="1" applyBorder="1" applyFill="1" applyFont="1">
      <alignment shrinkToFit="0" wrapText="1"/>
    </xf>
    <xf borderId="2" fillId="6" fontId="3" numFmtId="0" xfId="0" applyAlignment="1" applyBorder="1" applyFill="1" applyFont="1">
      <alignment shrinkToFit="0" wrapText="1"/>
    </xf>
    <xf borderId="2" fillId="8" fontId="2" numFmtId="0" xfId="0" applyAlignment="1" applyBorder="1" applyFill="1" applyFont="1">
      <alignment shrinkToFit="0" wrapText="1"/>
    </xf>
    <xf borderId="2" fillId="8" fontId="3" numFmtId="0" xfId="0" applyAlignment="1" applyBorder="1" applyFill="1" applyFont="1">
      <alignment shrinkToFit="0" wrapText="1"/>
    </xf>
  </cellXfs>
  <cellStyles count="1">
    <cellStyle xfId="0" name="Normal" builtinId="0"/>
  </cellStyles>
  <dxfs count="3">
    <dxf>
      <font>
        <b/>
        <color rgb="FFB3261E"/>
      </font>
      <fill>
        <patternFill patternType="solid">
          <fgColor rgb="FFFCE8E6"/>
          <bgColor rgb="FFFCE8E6"/>
        </patternFill>
      </fill>
      <border/>
    </dxf>
    <dxf>
      <font>
        <b/>
        <color rgb="FF8A5A00"/>
      </font>
      <fill>
        <patternFill patternType="solid">
          <fgColor rgb="FFFFF4DD"/>
          <bgColor rgb="FFFFF4DD"/>
        </patternFill>
      </fill>
      <border/>
    </dxf>
    <dxf>
      <font>
        <b/>
        <color rgb="FF2E6B3A"/>
      </font>
      <fill>
        <patternFill patternType="solid">
          <fgColor rgb="FFE6F4EA"/>
          <bgColor rgb="FFE6F4E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Monthly Revenue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'Monthly Dashboard'!$A$8:$A$15</c:f>
            </c:strRef>
          </c:cat>
          <c:val>
            <c:numRef>
              <c:f>'Monthly Dashboard'!$B$8:$B$15</c:f>
              <c:numCache/>
            </c:numRef>
          </c:val>
          <c:smooth val="0"/>
        </c:ser>
        <c:axId val="244051381"/>
        <c:axId val="2118162765"/>
      </c:lineChart>
      <c:catAx>
        <c:axId val="244051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162765"/>
      </c:catAx>
      <c:valAx>
        <c:axId val="2118162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05138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Pipeline Activity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Monthly Revenue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'Monthly Dashboard'!$A$8:$A$15</c:f>
            </c:strRef>
          </c:cat>
          <c:val>
            <c:numRef>
              <c:f>'Monthly Dashboard'!$B$8:$B$15</c:f>
              <c:numCache/>
            </c:numRef>
          </c:val>
        </c:ser>
        <c:ser>
          <c:idx val="1"/>
          <c:order val="1"/>
          <c:tx>
            <c:v>Enquiries / Leads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'Monthly Dashboard'!$A$8:$A$15</c:f>
            </c:strRef>
          </c:cat>
          <c:val>
            <c:numRef>
              <c:f>'Monthly Dashboard'!$C$8:$C$15</c:f>
              <c:numCache/>
            </c:numRef>
          </c:val>
        </c:ser>
        <c:ser>
          <c:idx val="2"/>
          <c:order val="2"/>
          <c:tx>
            <c:v>Applications Received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'Monthly Dashboard'!$A$8:$A$15</c:f>
            </c:strRef>
          </c:cat>
          <c:val>
            <c:numRef>
              <c:f>'Monthly Dashboard'!$D$8:$D$15</c:f>
              <c:numCache/>
            </c:numRef>
          </c:val>
        </c:ser>
        <c:ser>
          <c:idx val="3"/>
          <c:order val="3"/>
          <c:tx>
            <c:v>Approved Applications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'Monthly Dashboard'!$A$8:$A$15</c:f>
            </c:strRef>
          </c:cat>
          <c:val>
            <c:numRef>
              <c:f>'Monthly Dashboard'!$E$8:$E$15</c:f>
              <c:numCache/>
            </c:numRef>
          </c:val>
        </c:ser>
        <c:ser>
          <c:idx val="4"/>
          <c:order val="4"/>
          <c:tx>
            <c:v>Settled Deals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'Monthly Dashboard'!$A$8:$A$15</c:f>
            </c:strRef>
          </c:cat>
          <c:val>
            <c:numRef>
              <c:f>'Monthly Dashboard'!$F$8:$F$15</c:f>
              <c:numCache/>
            </c:numRef>
          </c:val>
        </c:ser>
        <c:axId val="933004145"/>
        <c:axId val="1748471947"/>
      </c:barChart>
      <c:catAx>
        <c:axId val="933004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471947"/>
      </c:catAx>
      <c:valAx>
        <c:axId val="1748471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00414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0</xdr:rowOff>
    </xdr:from>
    <xdr:ext cx="6934200" cy="3000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30</xdr:row>
      <xdr:rowOff>0</xdr:rowOff>
    </xdr:from>
    <xdr:ext cx="6096000" cy="3000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4.0"/>
    <col customWidth="1" min="5" max="5" width="3.0"/>
    <col customWidth="1" min="6" max="10" width="14.0"/>
    <col customWidth="1" min="11" max="26" width="8.63"/>
  </cols>
  <sheetData>
    <row r="1" ht="21.75" customHeight="1">
      <c r="A1" s="1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5" t="s">
        <v>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4" t="s">
        <v>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8" t="s">
        <v>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11" t="s">
        <v>33</v>
      </c>
      <c r="E11" s="3"/>
      <c r="F11" s="11" t="s">
        <v>35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13" t="s">
        <v>36</v>
      </c>
      <c r="C12" s="13" t="s">
        <v>37</v>
      </c>
      <c r="E12" s="3"/>
      <c r="F12" s="14" t="s">
        <v>38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15" t="s">
        <v>41</v>
      </c>
      <c r="C13" s="15" t="s">
        <v>42</v>
      </c>
      <c r="E13" s="3"/>
      <c r="F13" s="16" t="s">
        <v>43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13" t="s">
        <v>44</v>
      </c>
      <c r="C14" s="13" t="s">
        <v>45</v>
      </c>
      <c r="E14" s="3"/>
      <c r="F14" s="14" t="s">
        <v>46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15" t="s">
        <v>49</v>
      </c>
      <c r="C15" s="15" t="s">
        <v>52</v>
      </c>
      <c r="E15" s="3"/>
      <c r="F15" s="16" t="s">
        <v>54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3"/>
      <c r="B16" s="3"/>
      <c r="C16" s="3"/>
      <c r="D16" s="3"/>
      <c r="E16" s="3"/>
      <c r="F16" s="14" t="s">
        <v>61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3"/>
      <c r="B17" s="3"/>
      <c r="C17" s="3"/>
      <c r="D17" s="3"/>
      <c r="E17" s="3"/>
      <c r="F17" s="16" t="s">
        <v>63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3"/>
      <c r="B18" s="3"/>
      <c r="C18" s="3"/>
      <c r="D18" s="3"/>
      <c r="E18" s="3"/>
      <c r="F18" s="14" t="s">
        <v>71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17" t="s">
        <v>97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3:B13"/>
    <mergeCell ref="C13:D13"/>
    <mergeCell ref="A14:B14"/>
    <mergeCell ref="C14:D14"/>
    <mergeCell ref="A15:B15"/>
    <mergeCell ref="C15:D15"/>
    <mergeCell ref="A1:J3"/>
    <mergeCell ref="A4:J4"/>
    <mergeCell ref="A6:J6"/>
    <mergeCell ref="A8:J9"/>
    <mergeCell ref="A11:D11"/>
    <mergeCell ref="A12:B12"/>
    <mergeCell ref="C12:D12"/>
    <mergeCell ref="F18:J18"/>
    <mergeCell ref="A22:J24"/>
    <mergeCell ref="F11:J11"/>
    <mergeCell ref="F12:J12"/>
    <mergeCell ref="F13:J13"/>
    <mergeCell ref="F14:J14"/>
    <mergeCell ref="F15:J15"/>
    <mergeCell ref="F16:J16"/>
    <mergeCell ref="F17:J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6.0"/>
    <col customWidth="1" min="3" max="3" width="14.0"/>
    <col customWidth="1" min="4" max="5" width="17.0"/>
    <col customWidth="1" min="6" max="6" width="13.0"/>
    <col customWidth="1" min="7" max="7" width="18.0"/>
    <col customWidth="1" min="8" max="8" width="14.0"/>
    <col customWidth="1" min="9" max="9" width="16.0"/>
    <col customWidth="1" min="10" max="10" width="15.0"/>
    <col customWidth="1" min="11" max="11" width="17.0"/>
    <col customWidth="1" min="12" max="26" width="8.63"/>
  </cols>
  <sheetData>
    <row r="1">
      <c r="A1" s="2" t="s">
        <v>157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 t="s">
        <v>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158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159</v>
      </c>
      <c r="B7" s="7" t="s">
        <v>160</v>
      </c>
      <c r="C7" s="7" t="s">
        <v>161</v>
      </c>
      <c r="D7" s="7" t="s">
        <v>162</v>
      </c>
      <c r="E7" s="7" t="s">
        <v>163</v>
      </c>
      <c r="F7" s="7" t="s">
        <v>164</v>
      </c>
      <c r="G7" s="7" t="s">
        <v>165</v>
      </c>
      <c r="H7" s="7" t="s">
        <v>166</v>
      </c>
      <c r="I7" s="7" t="s">
        <v>167</v>
      </c>
      <c r="J7" s="7" t="s">
        <v>168</v>
      </c>
      <c r="K7" s="7" t="s">
        <v>169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170</v>
      </c>
      <c r="B8" s="12">
        <v>145000.0</v>
      </c>
      <c r="C8" s="9">
        <v>38.0</v>
      </c>
      <c r="D8" s="9">
        <v>24.0</v>
      </c>
      <c r="E8" s="9">
        <v>18.0</v>
      </c>
      <c r="F8" s="9">
        <v>14.0</v>
      </c>
      <c r="G8" s="12">
        <v>6580000.0</v>
      </c>
      <c r="H8" s="18">
        <f t="shared" ref="H8:H15" si="1">IF(C8=0,0,F8/C8)</f>
        <v>0.3684210526</v>
      </c>
      <c r="I8" s="12">
        <f t="shared" ref="I8:I15" si="2">IF(F8=0,0,G8/F8)</f>
        <v>470000</v>
      </c>
      <c r="J8" s="18" t="s">
        <v>171</v>
      </c>
      <c r="K8" s="9">
        <v>9.0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172</v>
      </c>
      <c r="B9" s="12">
        <v>162000.0</v>
      </c>
      <c r="C9" s="9">
        <v>42.0</v>
      </c>
      <c r="D9" s="9">
        <v>27.0</v>
      </c>
      <c r="E9" s="9">
        <v>21.0</v>
      </c>
      <c r="F9" s="9">
        <v>16.0</v>
      </c>
      <c r="G9" s="12">
        <v>7520000.0</v>
      </c>
      <c r="H9" s="18">
        <f t="shared" si="1"/>
        <v>0.380952381</v>
      </c>
      <c r="I9" s="12">
        <f t="shared" si="2"/>
        <v>470000</v>
      </c>
      <c r="J9" s="18">
        <f t="shared" ref="J9:J15" si="3">IF(B8=0,0,(B9-B8)/B8)</f>
        <v>0.1172413793</v>
      </c>
      <c r="K9" s="9">
        <v>8.0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173</v>
      </c>
      <c r="B10" s="12">
        <v>151500.0</v>
      </c>
      <c r="C10" s="9">
        <v>40.0</v>
      </c>
      <c r="D10" s="9">
        <v>26.0</v>
      </c>
      <c r="E10" s="9">
        <v>19.0</v>
      </c>
      <c r="F10" s="9">
        <v>15.0</v>
      </c>
      <c r="G10" s="12">
        <v>6930000.0</v>
      </c>
      <c r="H10" s="18">
        <f t="shared" si="1"/>
        <v>0.375</v>
      </c>
      <c r="I10" s="12">
        <f t="shared" si="2"/>
        <v>462000</v>
      </c>
      <c r="J10" s="18">
        <f t="shared" si="3"/>
        <v>-0.06481481481</v>
      </c>
      <c r="K10" s="9">
        <v>11.0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174</v>
      </c>
      <c r="B11" s="12">
        <v>178000.0</v>
      </c>
      <c r="C11" s="9">
        <v>47.0</v>
      </c>
      <c r="D11" s="9">
        <v>31.0</v>
      </c>
      <c r="E11" s="9">
        <v>24.0</v>
      </c>
      <c r="F11" s="9">
        <v>19.0</v>
      </c>
      <c r="G11" s="12">
        <v>8740000.0</v>
      </c>
      <c r="H11" s="18">
        <f t="shared" si="1"/>
        <v>0.4042553191</v>
      </c>
      <c r="I11" s="12">
        <f t="shared" si="2"/>
        <v>460000</v>
      </c>
      <c r="J11" s="18">
        <f t="shared" si="3"/>
        <v>0.1749174917</v>
      </c>
      <c r="K11" s="9">
        <v>7.0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 t="s">
        <v>175</v>
      </c>
      <c r="B12" s="12">
        <v>194500.0</v>
      </c>
      <c r="C12" s="9">
        <v>52.0</v>
      </c>
      <c r="D12" s="9">
        <v>35.0</v>
      </c>
      <c r="E12" s="9">
        <v>28.0</v>
      </c>
      <c r="F12" s="9">
        <v>22.0</v>
      </c>
      <c r="G12" s="12">
        <v>1.012E7</v>
      </c>
      <c r="H12" s="18">
        <f t="shared" si="1"/>
        <v>0.4230769231</v>
      </c>
      <c r="I12" s="12">
        <f t="shared" si="2"/>
        <v>460000</v>
      </c>
      <c r="J12" s="18">
        <f t="shared" si="3"/>
        <v>0.09269662921</v>
      </c>
      <c r="K12" s="9">
        <v>6.0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176</v>
      </c>
      <c r="B13" s="12">
        <v>188000.0</v>
      </c>
      <c r="C13" s="9">
        <v>49.0</v>
      </c>
      <c r="D13" s="9">
        <v>33.0</v>
      </c>
      <c r="E13" s="9">
        <v>26.0</v>
      </c>
      <c r="F13" s="9">
        <v>20.0</v>
      </c>
      <c r="G13" s="12">
        <v>9480000.0</v>
      </c>
      <c r="H13" s="18">
        <f t="shared" si="1"/>
        <v>0.4081632653</v>
      </c>
      <c r="I13" s="12">
        <f t="shared" si="2"/>
        <v>474000</v>
      </c>
      <c r="J13" s="18">
        <f t="shared" si="3"/>
        <v>-0.03341902314</v>
      </c>
      <c r="K13" s="9">
        <v>10.0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 t="s">
        <v>177</v>
      </c>
      <c r="B14" s="12">
        <v>213500.0</v>
      </c>
      <c r="C14" s="9">
        <v>58.0</v>
      </c>
      <c r="D14" s="9">
        <v>39.0</v>
      </c>
      <c r="E14" s="9">
        <v>31.0</v>
      </c>
      <c r="F14" s="9">
        <v>25.0</v>
      </c>
      <c r="G14" s="12">
        <v>1.192E7</v>
      </c>
      <c r="H14" s="18">
        <f t="shared" si="1"/>
        <v>0.4310344828</v>
      </c>
      <c r="I14" s="12">
        <f t="shared" si="2"/>
        <v>476800</v>
      </c>
      <c r="J14" s="18">
        <f t="shared" si="3"/>
        <v>0.1356382979</v>
      </c>
      <c r="K14" s="9">
        <v>7.0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 t="s">
        <v>178</v>
      </c>
      <c r="B15" s="12">
        <v>229000.0</v>
      </c>
      <c r="C15" s="9">
        <v>61.0</v>
      </c>
      <c r="D15" s="9">
        <v>42.0</v>
      </c>
      <c r="E15" s="9">
        <v>34.0</v>
      </c>
      <c r="F15" s="9">
        <v>28.0</v>
      </c>
      <c r="G15" s="12">
        <v>1.33E7</v>
      </c>
      <c r="H15" s="18">
        <f t="shared" si="1"/>
        <v>0.4590163934</v>
      </c>
      <c r="I15" s="12">
        <f t="shared" si="2"/>
        <v>475000</v>
      </c>
      <c r="J15" s="18">
        <f t="shared" si="3"/>
        <v>0.07259953162</v>
      </c>
      <c r="K15" s="9">
        <v>5.0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179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 t="s">
        <v>180</v>
      </c>
      <c r="C19" s="19" t="s">
        <v>181</v>
      </c>
      <c r="E19" s="19" t="s">
        <v>182</v>
      </c>
      <c r="G19" s="19" t="s">
        <v>94</v>
      </c>
      <c r="I19" s="19" t="s">
        <v>117</v>
      </c>
      <c r="K19" s="19" t="s">
        <v>169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0">
        <v>229000.0</v>
      </c>
      <c r="C20" s="21">
        <v>61.0</v>
      </c>
      <c r="E20" s="21">
        <v>42.0</v>
      </c>
      <c r="G20" s="21">
        <v>34.0</v>
      </c>
      <c r="I20" s="21">
        <v>28.0</v>
      </c>
      <c r="K20" s="21">
        <v>5.0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1" t="s">
        <v>183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2" t="s">
        <v>184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3" t="s">
        <v>185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2" t="s">
        <v>186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3" t="s">
        <v>187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2" t="s">
        <v>188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G19:H19"/>
    <mergeCell ref="I19:J19"/>
    <mergeCell ref="A1:K2"/>
    <mergeCell ref="A3:K3"/>
    <mergeCell ref="A5:K5"/>
    <mergeCell ref="A18:K18"/>
    <mergeCell ref="A19:B19"/>
    <mergeCell ref="C19:D19"/>
    <mergeCell ref="E19:F19"/>
    <mergeCell ref="A24:K24"/>
    <mergeCell ref="A25:K25"/>
    <mergeCell ref="A26:K26"/>
    <mergeCell ref="A27:K27"/>
    <mergeCell ref="A28:K28"/>
    <mergeCell ref="A20:B21"/>
    <mergeCell ref="C20:D21"/>
    <mergeCell ref="E20:F21"/>
    <mergeCell ref="G20:H21"/>
    <mergeCell ref="I20:J21"/>
    <mergeCell ref="K20:K21"/>
    <mergeCell ref="A23:K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3.0"/>
    <col customWidth="1" min="3" max="3" width="20.0"/>
    <col customWidth="1" min="4" max="4" width="15.0"/>
    <col customWidth="1" min="5" max="5" width="20.0"/>
    <col customWidth="1" min="6" max="6" width="15.0"/>
    <col customWidth="1" min="7" max="7" width="14.0"/>
    <col customWidth="1" min="8" max="8" width="15.0"/>
    <col customWidth="1" min="9" max="9" width="14.0"/>
    <col customWidth="1" min="10" max="10" width="18.0"/>
    <col customWidth="1" min="11" max="11" width="34.0"/>
    <col customWidth="1" min="12" max="12" width="16.0"/>
    <col customWidth="1" min="13" max="26" width="8.63"/>
  </cols>
  <sheetData>
    <row r="1">
      <c r="A1" s="2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 t="s">
        <v>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8</v>
      </c>
      <c r="B7" s="7" t="s">
        <v>9</v>
      </c>
      <c r="C7" s="7" t="s">
        <v>13</v>
      </c>
      <c r="D7" s="7" t="s">
        <v>14</v>
      </c>
      <c r="E7" s="7" t="s">
        <v>12</v>
      </c>
      <c r="F7" s="7" t="s">
        <v>17</v>
      </c>
      <c r="G7" s="7" t="s">
        <v>19</v>
      </c>
      <c r="H7" s="7" t="s">
        <v>20</v>
      </c>
      <c r="I7" s="7" t="s">
        <v>21</v>
      </c>
      <c r="J7" s="7" t="s">
        <v>22</v>
      </c>
      <c r="K7" s="7" t="s">
        <v>23</v>
      </c>
      <c r="L7" s="7" t="s">
        <v>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28</v>
      </c>
      <c r="B8" s="10">
        <v>46267.0</v>
      </c>
      <c r="C8" s="9" t="s">
        <v>34</v>
      </c>
      <c r="D8" s="12">
        <v>620000.0</v>
      </c>
      <c r="E8" s="9" t="s">
        <v>39</v>
      </c>
      <c r="F8" s="9" t="s">
        <v>40</v>
      </c>
      <c r="G8" s="10">
        <v>46280.0</v>
      </c>
      <c r="H8" s="10">
        <v>46287.0</v>
      </c>
      <c r="I8" s="9">
        <f t="shared" ref="I8:I27" si="1">DATE(2026,9,25)-G8</f>
        <v>10</v>
      </c>
      <c r="J8" s="9" t="s">
        <v>51</v>
      </c>
      <c r="K8" s="9" t="s">
        <v>53</v>
      </c>
      <c r="L8" s="9" t="str">
        <f t="shared" ref="L8:L27" si="2">IF(OR(E8="Settled",E8="Lost / Closed"),"CLOSED",IF(H8&lt;DATE(2026,9,25),"OVERDUE",IF(I8&gt;7,"REVIEW","ON TRACK")))</f>
        <v>OVERDUE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77</v>
      </c>
      <c r="B9" s="10">
        <v>46268.0</v>
      </c>
      <c r="C9" s="9" t="s">
        <v>78</v>
      </c>
      <c r="D9" s="12">
        <v>845000.0</v>
      </c>
      <c r="E9" s="9" t="s">
        <v>79</v>
      </c>
      <c r="F9" s="9" t="s">
        <v>80</v>
      </c>
      <c r="G9" s="10">
        <v>46288.0</v>
      </c>
      <c r="H9" s="10">
        <v>46291.0</v>
      </c>
      <c r="I9" s="9">
        <f t="shared" si="1"/>
        <v>2</v>
      </c>
      <c r="J9" s="9" t="s">
        <v>83</v>
      </c>
      <c r="K9" s="9" t="s">
        <v>85</v>
      </c>
      <c r="L9" s="9" t="str">
        <f t="shared" si="2"/>
        <v>ON TRACK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64</v>
      </c>
      <c r="B10" s="10">
        <v>46269.0</v>
      </c>
      <c r="C10" s="9" t="s">
        <v>90</v>
      </c>
      <c r="D10" s="12">
        <v>510000.0</v>
      </c>
      <c r="E10" s="9" t="s">
        <v>94</v>
      </c>
      <c r="F10" s="9" t="s">
        <v>69</v>
      </c>
      <c r="G10" s="10">
        <v>46289.0</v>
      </c>
      <c r="H10" s="10">
        <v>46294.0</v>
      </c>
      <c r="I10" s="9">
        <f t="shared" si="1"/>
        <v>1</v>
      </c>
      <c r="J10" s="9" t="s">
        <v>99</v>
      </c>
      <c r="K10" s="9" t="s">
        <v>100</v>
      </c>
      <c r="L10" s="9" t="str">
        <f t="shared" si="2"/>
        <v>ON TRACK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102</v>
      </c>
      <c r="B11" s="10">
        <v>46270.0</v>
      </c>
      <c r="C11" s="9" t="s">
        <v>105</v>
      </c>
      <c r="D11" s="12">
        <v>98000.0</v>
      </c>
      <c r="E11" s="9" t="s">
        <v>108</v>
      </c>
      <c r="F11" s="9" t="s">
        <v>40</v>
      </c>
      <c r="G11" s="10">
        <v>46281.0</v>
      </c>
      <c r="H11" s="10">
        <v>46286.0</v>
      </c>
      <c r="I11" s="9">
        <f t="shared" si="1"/>
        <v>9</v>
      </c>
      <c r="J11" s="9" t="s">
        <v>110</v>
      </c>
      <c r="K11" s="9" t="s">
        <v>111</v>
      </c>
      <c r="L11" s="9" t="str">
        <f t="shared" si="2"/>
        <v>OVERDUE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 t="s">
        <v>81</v>
      </c>
      <c r="B12" s="10">
        <v>46271.0</v>
      </c>
      <c r="C12" s="9" t="s">
        <v>34</v>
      </c>
      <c r="D12" s="12">
        <v>710000.0</v>
      </c>
      <c r="E12" s="9" t="s">
        <v>117</v>
      </c>
      <c r="F12" s="9" t="s">
        <v>80</v>
      </c>
      <c r="G12" s="10">
        <v>46285.0</v>
      </c>
      <c r="H12" s="10">
        <v>46315.0</v>
      </c>
      <c r="I12" s="9">
        <f t="shared" si="1"/>
        <v>5</v>
      </c>
      <c r="J12" s="9" t="s">
        <v>118</v>
      </c>
      <c r="K12" s="9" t="s">
        <v>120</v>
      </c>
      <c r="L12" s="9" t="str">
        <f t="shared" si="2"/>
        <v>CLOSED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91</v>
      </c>
      <c r="B13" s="10">
        <v>46272.0</v>
      </c>
      <c r="C13" s="9" t="s">
        <v>124</v>
      </c>
      <c r="D13" s="12">
        <v>1200000.0</v>
      </c>
      <c r="E13" s="9" t="s">
        <v>39</v>
      </c>
      <c r="F13" s="9" t="s">
        <v>40</v>
      </c>
      <c r="G13" s="10">
        <v>46277.0</v>
      </c>
      <c r="H13" s="10">
        <v>46283.0</v>
      </c>
      <c r="I13" s="9">
        <f t="shared" si="1"/>
        <v>13</v>
      </c>
      <c r="J13" s="9" t="s">
        <v>51</v>
      </c>
      <c r="K13" s="9" t="s">
        <v>125</v>
      </c>
      <c r="L13" s="9" t="str">
        <f t="shared" si="2"/>
        <v>OVERDUE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 t="s">
        <v>101</v>
      </c>
      <c r="B14" s="10">
        <v>46273.0</v>
      </c>
      <c r="C14" s="9" t="s">
        <v>129</v>
      </c>
      <c r="D14" s="12">
        <v>45000.0</v>
      </c>
      <c r="E14" s="9" t="s">
        <v>132</v>
      </c>
      <c r="F14" s="9" t="s">
        <v>40</v>
      </c>
      <c r="G14" s="10">
        <v>46289.0</v>
      </c>
      <c r="H14" s="10">
        <v>46290.0</v>
      </c>
      <c r="I14" s="9">
        <f t="shared" si="1"/>
        <v>1</v>
      </c>
      <c r="J14" s="9" t="s">
        <v>99</v>
      </c>
      <c r="K14" s="9" t="s">
        <v>133</v>
      </c>
      <c r="L14" s="9" t="str">
        <f t="shared" si="2"/>
        <v>ON TRACK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 t="s">
        <v>112</v>
      </c>
      <c r="B15" s="10">
        <v>46273.0</v>
      </c>
      <c r="C15" s="9" t="s">
        <v>78</v>
      </c>
      <c r="D15" s="12">
        <v>930000.0</v>
      </c>
      <c r="E15" s="9" t="s">
        <v>79</v>
      </c>
      <c r="F15" s="9" t="s">
        <v>69</v>
      </c>
      <c r="G15" s="10">
        <v>46282.0</v>
      </c>
      <c r="H15" s="10">
        <v>46289.0</v>
      </c>
      <c r="I15" s="9">
        <f t="shared" si="1"/>
        <v>8</v>
      </c>
      <c r="J15" s="9" t="s">
        <v>83</v>
      </c>
      <c r="K15" s="9" t="s">
        <v>134</v>
      </c>
      <c r="L15" s="9" t="str">
        <f t="shared" si="2"/>
        <v>OVERDUE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 t="s">
        <v>119</v>
      </c>
      <c r="B16" s="10">
        <v>46274.0</v>
      </c>
      <c r="C16" s="9" t="s">
        <v>90</v>
      </c>
      <c r="D16" s="12">
        <v>565000.0</v>
      </c>
      <c r="E16" s="9" t="s">
        <v>108</v>
      </c>
      <c r="F16" s="9" t="s">
        <v>40</v>
      </c>
      <c r="G16" s="10">
        <v>46284.0</v>
      </c>
      <c r="H16" s="10">
        <v>46288.0</v>
      </c>
      <c r="I16" s="9">
        <f t="shared" si="1"/>
        <v>6</v>
      </c>
      <c r="J16" s="9" t="s">
        <v>110</v>
      </c>
      <c r="K16" s="9" t="s">
        <v>135</v>
      </c>
      <c r="L16" s="9" t="str">
        <f t="shared" si="2"/>
        <v>OVERDUE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 t="s">
        <v>126</v>
      </c>
      <c r="B17" s="10">
        <v>46275.0</v>
      </c>
      <c r="C17" s="9" t="s">
        <v>34</v>
      </c>
      <c r="D17" s="12">
        <v>680000.0</v>
      </c>
      <c r="E17" s="9" t="s">
        <v>94</v>
      </c>
      <c r="F17" s="9" t="s">
        <v>80</v>
      </c>
      <c r="G17" s="10">
        <v>46290.0</v>
      </c>
      <c r="H17" s="10">
        <v>46295.0</v>
      </c>
      <c r="I17" s="9">
        <f t="shared" si="1"/>
        <v>0</v>
      </c>
      <c r="J17" s="9" t="s">
        <v>99</v>
      </c>
      <c r="K17" s="9" t="s">
        <v>136</v>
      </c>
      <c r="L17" s="9" t="str">
        <f t="shared" si="2"/>
        <v>ON TRACK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 t="s">
        <v>137</v>
      </c>
      <c r="B18" s="10">
        <v>46276.0</v>
      </c>
      <c r="C18" s="9" t="s">
        <v>105</v>
      </c>
      <c r="D18" s="12">
        <v>132000.0</v>
      </c>
      <c r="E18" s="9" t="s">
        <v>138</v>
      </c>
      <c r="F18" s="9" t="s">
        <v>69</v>
      </c>
      <c r="G18" s="10">
        <v>46286.0</v>
      </c>
      <c r="H18" s="10">
        <v>46296.0</v>
      </c>
      <c r="I18" s="9">
        <f t="shared" si="1"/>
        <v>4</v>
      </c>
      <c r="J18" s="9" t="s">
        <v>118</v>
      </c>
      <c r="K18" s="9" t="s">
        <v>139</v>
      </c>
      <c r="L18" s="9" t="str">
        <f t="shared" si="2"/>
        <v>CLOSED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 t="s">
        <v>140</v>
      </c>
      <c r="B19" s="10">
        <v>46277.0</v>
      </c>
      <c r="C19" s="9" t="s">
        <v>124</v>
      </c>
      <c r="D19" s="12">
        <v>1560000.0</v>
      </c>
      <c r="E19" s="9" t="s">
        <v>39</v>
      </c>
      <c r="F19" s="9" t="s">
        <v>40</v>
      </c>
      <c r="G19" s="10">
        <v>46278.0</v>
      </c>
      <c r="H19" s="10">
        <v>46285.0</v>
      </c>
      <c r="I19" s="9">
        <f t="shared" si="1"/>
        <v>12</v>
      </c>
      <c r="J19" s="9" t="s">
        <v>51</v>
      </c>
      <c r="K19" s="9" t="s">
        <v>141</v>
      </c>
      <c r="L19" s="9" t="str">
        <f t="shared" si="2"/>
        <v>OVERDUE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 t="s">
        <v>142</v>
      </c>
      <c r="B20" s="10">
        <v>46278.0</v>
      </c>
      <c r="C20" s="9" t="s">
        <v>90</v>
      </c>
      <c r="D20" s="12">
        <v>490000.0</v>
      </c>
      <c r="E20" s="9" t="s">
        <v>79</v>
      </c>
      <c r="F20" s="9" t="s">
        <v>80</v>
      </c>
      <c r="G20" s="10">
        <v>46289.0</v>
      </c>
      <c r="H20" s="10">
        <v>46292.0</v>
      </c>
      <c r="I20" s="9">
        <f t="shared" si="1"/>
        <v>1</v>
      </c>
      <c r="J20" s="9" t="s">
        <v>99</v>
      </c>
      <c r="K20" s="9" t="s">
        <v>143</v>
      </c>
      <c r="L20" s="9" t="str">
        <f t="shared" si="2"/>
        <v>ON TRACK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9" t="s">
        <v>144</v>
      </c>
      <c r="B21" s="10">
        <v>46279.0</v>
      </c>
      <c r="C21" s="9" t="s">
        <v>34</v>
      </c>
      <c r="D21" s="12">
        <v>775000.0</v>
      </c>
      <c r="E21" s="9" t="s">
        <v>108</v>
      </c>
      <c r="F21" s="9" t="s">
        <v>40</v>
      </c>
      <c r="G21" s="10">
        <v>46283.0</v>
      </c>
      <c r="H21" s="10">
        <v>46289.0</v>
      </c>
      <c r="I21" s="9">
        <f t="shared" si="1"/>
        <v>7</v>
      </c>
      <c r="J21" s="9" t="s">
        <v>110</v>
      </c>
      <c r="K21" s="9" t="s">
        <v>145</v>
      </c>
      <c r="L21" s="9" t="str">
        <f t="shared" si="2"/>
        <v>OVERDUE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9" t="s">
        <v>146</v>
      </c>
      <c r="B22" s="10">
        <v>46280.0</v>
      </c>
      <c r="C22" s="9" t="s">
        <v>78</v>
      </c>
      <c r="D22" s="12">
        <v>880000.0</v>
      </c>
      <c r="E22" s="9" t="s">
        <v>94</v>
      </c>
      <c r="F22" s="9" t="s">
        <v>69</v>
      </c>
      <c r="G22" s="10">
        <v>46288.0</v>
      </c>
      <c r="H22" s="10">
        <v>46293.0</v>
      </c>
      <c r="I22" s="9">
        <f t="shared" si="1"/>
        <v>2</v>
      </c>
      <c r="J22" s="9" t="s">
        <v>99</v>
      </c>
      <c r="K22" s="9" t="s">
        <v>147</v>
      </c>
      <c r="L22" s="9" t="str">
        <f t="shared" si="2"/>
        <v>ON TRACK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9" t="s">
        <v>148</v>
      </c>
      <c r="B23" s="10">
        <v>46281.0</v>
      </c>
      <c r="C23" s="9" t="s">
        <v>129</v>
      </c>
      <c r="D23" s="12">
        <v>52000.0</v>
      </c>
      <c r="E23" s="9" t="s">
        <v>117</v>
      </c>
      <c r="F23" s="9" t="s">
        <v>80</v>
      </c>
      <c r="G23" s="10">
        <v>46289.0</v>
      </c>
      <c r="H23" s="10">
        <v>46319.0</v>
      </c>
      <c r="I23" s="9">
        <f t="shared" si="1"/>
        <v>1</v>
      </c>
      <c r="J23" s="9" t="s">
        <v>118</v>
      </c>
      <c r="K23" s="9" t="s">
        <v>120</v>
      </c>
      <c r="L23" s="9" t="str">
        <f t="shared" si="2"/>
        <v>CLOSED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9" t="s">
        <v>149</v>
      </c>
      <c r="B24" s="10">
        <v>46282.0</v>
      </c>
      <c r="C24" s="9" t="s">
        <v>105</v>
      </c>
      <c r="D24" s="12">
        <v>174000.0</v>
      </c>
      <c r="E24" s="9" t="s">
        <v>132</v>
      </c>
      <c r="F24" s="9" t="s">
        <v>40</v>
      </c>
      <c r="G24" s="10">
        <v>46282.0</v>
      </c>
      <c r="H24" s="10">
        <v>46287.0</v>
      </c>
      <c r="I24" s="9">
        <f t="shared" si="1"/>
        <v>8</v>
      </c>
      <c r="J24" s="9" t="s">
        <v>110</v>
      </c>
      <c r="K24" s="9" t="s">
        <v>150</v>
      </c>
      <c r="L24" s="9" t="str">
        <f t="shared" si="2"/>
        <v>OVERDUE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9" t="s">
        <v>151</v>
      </c>
      <c r="B25" s="10">
        <v>46283.0</v>
      </c>
      <c r="C25" s="9" t="s">
        <v>124</v>
      </c>
      <c r="D25" s="12">
        <v>980000.0</v>
      </c>
      <c r="E25" s="9" t="s">
        <v>39</v>
      </c>
      <c r="F25" s="9" t="s">
        <v>40</v>
      </c>
      <c r="G25" s="10">
        <v>46289.0</v>
      </c>
      <c r="H25" s="10">
        <v>46292.0</v>
      </c>
      <c r="I25" s="9">
        <f t="shared" si="1"/>
        <v>1</v>
      </c>
      <c r="J25" s="9" t="s">
        <v>51</v>
      </c>
      <c r="K25" s="9" t="s">
        <v>152</v>
      </c>
      <c r="L25" s="9" t="str">
        <f t="shared" si="2"/>
        <v>ON TRACK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9" t="s">
        <v>153</v>
      </c>
      <c r="B26" s="10">
        <v>46284.0</v>
      </c>
      <c r="C26" s="9" t="s">
        <v>90</v>
      </c>
      <c r="D26" s="12">
        <v>540000.0</v>
      </c>
      <c r="E26" s="9" t="s">
        <v>108</v>
      </c>
      <c r="F26" s="9" t="s">
        <v>40</v>
      </c>
      <c r="G26" s="10">
        <v>46290.0</v>
      </c>
      <c r="H26" s="10">
        <v>46293.0</v>
      </c>
      <c r="I26" s="9">
        <f t="shared" si="1"/>
        <v>0</v>
      </c>
      <c r="J26" s="9" t="s">
        <v>99</v>
      </c>
      <c r="K26" s="9" t="s">
        <v>154</v>
      </c>
      <c r="L26" s="9" t="str">
        <f t="shared" si="2"/>
        <v>ON TRACK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9" t="s">
        <v>155</v>
      </c>
      <c r="B27" s="10">
        <v>46285.0</v>
      </c>
      <c r="C27" s="9" t="s">
        <v>34</v>
      </c>
      <c r="D27" s="12">
        <v>735000.0</v>
      </c>
      <c r="E27" s="9" t="s">
        <v>79</v>
      </c>
      <c r="F27" s="9" t="s">
        <v>69</v>
      </c>
      <c r="G27" s="10">
        <v>46279.0</v>
      </c>
      <c r="H27" s="10">
        <v>46286.0</v>
      </c>
      <c r="I27" s="9">
        <f t="shared" si="1"/>
        <v>11</v>
      </c>
      <c r="J27" s="9" t="s">
        <v>83</v>
      </c>
      <c r="K27" s="9" t="s">
        <v>156</v>
      </c>
      <c r="L27" s="9" t="str">
        <f t="shared" si="2"/>
        <v>OVERDUE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2"/>
    <mergeCell ref="A3:L3"/>
    <mergeCell ref="A5:L5"/>
  </mergeCells>
  <conditionalFormatting sqref="L8:L27">
    <cfRule type="expression" dxfId="0" priority="1">
      <formula>L8="OVERDUE"</formula>
    </cfRule>
  </conditionalFormatting>
  <conditionalFormatting sqref="L8:L27">
    <cfRule type="expression" dxfId="1" priority="2">
      <formula>L8="REVIEW"</formula>
    </cfRule>
  </conditionalFormatting>
  <conditionalFormatting sqref="L8:L27">
    <cfRule type="expression" dxfId="2" priority="3">
      <formula>L8="ON TRACK"</formula>
    </cfRule>
  </conditionalFormatting>
  <dataValidations>
    <dataValidation type="list" allowBlank="1" sqref="J8:J27">
      <formula1>"On Track,Overdue,Waiting on Client,Waiting on Lender,Closed"</formula1>
    </dataValidation>
    <dataValidation type="list" allowBlank="1" sqref="E8:E27">
      <formula1>"New Enquiry,Contacted,Documents Requested,Application Submitted,Approved,Settled,Lost / Closed"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6.0"/>
    <col customWidth="1" min="3" max="3" width="20.0"/>
    <col customWidth="1" min="4" max="4" width="16.0"/>
    <col customWidth="1" min="5" max="5" width="20.0"/>
    <col customWidth="1" min="6" max="6" width="14.0"/>
    <col customWidth="1" min="7" max="7" width="24.0"/>
    <col customWidth="1" min="8" max="8" width="18.0"/>
    <col customWidth="1" min="9" max="26" width="8.63"/>
  </cols>
  <sheetData>
    <row r="1">
      <c r="A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 t="s">
        <v>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6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15</v>
      </c>
      <c r="G5" s="7" t="s">
        <v>16</v>
      </c>
      <c r="H5" s="7" t="s">
        <v>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25</v>
      </c>
      <c r="B6" s="9" t="s">
        <v>26</v>
      </c>
      <c r="C6" s="9" t="s">
        <v>27</v>
      </c>
      <c r="D6" s="9" t="s">
        <v>29</v>
      </c>
      <c r="E6" s="9" t="s">
        <v>30</v>
      </c>
      <c r="F6" s="9" t="s">
        <v>31</v>
      </c>
      <c r="G6" s="9" t="s">
        <v>32</v>
      </c>
      <c r="H6" s="9" t="str">
        <f t="shared" ref="H6:H17" si="1">IF(COUNTIF($A$6:$A$17,A6)&gt;1,"Possible duplicate",IF(OR(D6="",G6=""),"Missing data","Review formatting"))</f>
        <v>Possible duplicate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28</v>
      </c>
      <c r="B7" s="9" t="s">
        <v>47</v>
      </c>
      <c r="C7" s="9" t="s">
        <v>48</v>
      </c>
      <c r="D7" s="9" t="s">
        <v>50</v>
      </c>
      <c r="E7" s="9" t="s">
        <v>39</v>
      </c>
      <c r="F7" s="9" t="s">
        <v>40</v>
      </c>
      <c r="G7" s="9" t="s">
        <v>32</v>
      </c>
      <c r="H7" s="9" t="str">
        <f t="shared" si="1"/>
        <v>Possible duplicate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55</v>
      </c>
      <c r="B8" s="9" t="s">
        <v>56</v>
      </c>
      <c r="C8" s="9" t="s">
        <v>57</v>
      </c>
      <c r="D8" s="9" t="s">
        <v>58</v>
      </c>
      <c r="E8" s="9" t="s">
        <v>59</v>
      </c>
      <c r="F8" s="9" t="s">
        <v>60</v>
      </c>
      <c r="G8" s="9" t="s">
        <v>62</v>
      </c>
      <c r="H8" s="9" t="str">
        <f t="shared" si="1"/>
        <v>Review formatting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64</v>
      </c>
      <c r="B9" s="9" t="s">
        <v>65</v>
      </c>
      <c r="C9" s="9" t="s">
        <v>66</v>
      </c>
      <c r="D9" s="9" t="s">
        <v>67</v>
      </c>
      <c r="E9" s="9" t="s">
        <v>68</v>
      </c>
      <c r="F9" s="9" t="s">
        <v>69</v>
      </c>
      <c r="G9" s="9" t="s">
        <v>70</v>
      </c>
      <c r="H9" s="9" t="str">
        <f t="shared" si="1"/>
        <v>Review formatting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72</v>
      </c>
      <c r="B10" s="9" t="s">
        <v>73</v>
      </c>
      <c r="C10" s="9" t="s">
        <v>74</v>
      </c>
      <c r="D10" s="9" t="s">
        <v>75</v>
      </c>
      <c r="E10" s="9" t="s">
        <v>76</v>
      </c>
      <c r="F10" s="9" t="s">
        <v>40</v>
      </c>
      <c r="G10" s="9"/>
      <c r="H10" s="9" t="str">
        <f t="shared" si="1"/>
        <v>Missing data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81</v>
      </c>
      <c r="B11" s="9" t="s">
        <v>82</v>
      </c>
      <c r="C11" s="9" t="s">
        <v>84</v>
      </c>
      <c r="D11" s="9" t="s">
        <v>86</v>
      </c>
      <c r="E11" s="9" t="s">
        <v>87</v>
      </c>
      <c r="F11" s="9" t="s">
        <v>88</v>
      </c>
      <c r="G11" s="9" t="s">
        <v>89</v>
      </c>
      <c r="H11" s="9" t="str">
        <f t="shared" si="1"/>
        <v>Review formatting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 t="s">
        <v>91</v>
      </c>
      <c r="B12" s="9" t="s">
        <v>92</v>
      </c>
      <c r="C12" s="9" t="s">
        <v>93</v>
      </c>
      <c r="D12" s="9" t="s">
        <v>95</v>
      </c>
      <c r="E12" s="9" t="s">
        <v>96</v>
      </c>
      <c r="F12" s="9" t="s">
        <v>40</v>
      </c>
      <c r="G12" s="9" t="s">
        <v>98</v>
      </c>
      <c r="H12" s="9" t="str">
        <f t="shared" si="1"/>
        <v>Review formatting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101</v>
      </c>
      <c r="B13" s="9" t="s">
        <v>103</v>
      </c>
      <c r="C13" s="9" t="s">
        <v>104</v>
      </c>
      <c r="D13" s="9" t="s">
        <v>106</v>
      </c>
      <c r="E13" s="9" t="s">
        <v>107</v>
      </c>
      <c r="F13" s="9" t="s">
        <v>40</v>
      </c>
      <c r="G13" s="9" t="s">
        <v>109</v>
      </c>
      <c r="H13" s="9" t="str">
        <f t="shared" si="1"/>
        <v>Review formatting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 t="s">
        <v>112</v>
      </c>
      <c r="B14" s="9" t="s">
        <v>113</v>
      </c>
      <c r="C14" s="9" t="s">
        <v>78</v>
      </c>
      <c r="D14" s="9" t="s">
        <v>114</v>
      </c>
      <c r="E14" s="9" t="s">
        <v>115</v>
      </c>
      <c r="F14" s="9" t="s">
        <v>69</v>
      </c>
      <c r="G14" s="9" t="s">
        <v>116</v>
      </c>
      <c r="H14" s="9" t="str">
        <f t="shared" si="1"/>
        <v>Review formatting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 t="s">
        <v>119</v>
      </c>
      <c r="B15" s="9" t="s">
        <v>121</v>
      </c>
      <c r="C15" s="9" t="s">
        <v>122</v>
      </c>
      <c r="D15" s="9"/>
      <c r="E15" s="9" t="s">
        <v>108</v>
      </c>
      <c r="F15" s="9" t="s">
        <v>40</v>
      </c>
      <c r="G15" s="9" t="s">
        <v>123</v>
      </c>
      <c r="H15" s="9" t="str">
        <f t="shared" si="1"/>
        <v>Possible duplicate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 t="s">
        <v>119</v>
      </c>
      <c r="B16" s="9" t="s">
        <v>121</v>
      </c>
      <c r="C16" s="9" t="s">
        <v>122</v>
      </c>
      <c r="D16" s="9"/>
      <c r="E16" s="9" t="s">
        <v>108</v>
      </c>
      <c r="F16" s="9" t="s">
        <v>40</v>
      </c>
      <c r="G16" s="9" t="s">
        <v>123</v>
      </c>
      <c r="H16" s="9" t="str">
        <f t="shared" si="1"/>
        <v>Possible duplicate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 t="s">
        <v>126</v>
      </c>
      <c r="B17" s="9" t="s">
        <v>127</v>
      </c>
      <c r="C17" s="9" t="s">
        <v>34</v>
      </c>
      <c r="D17" s="9" t="s">
        <v>128</v>
      </c>
      <c r="E17" s="9" t="s">
        <v>130</v>
      </c>
      <c r="F17" s="9" t="s">
        <v>80</v>
      </c>
      <c r="G17" s="9" t="s">
        <v>131</v>
      </c>
      <c r="H17" s="9" t="str">
        <f t="shared" si="1"/>
        <v>Review formatting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2"/>
    <mergeCell ref="A3:H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4.0"/>
    <col customWidth="1" min="3" max="3" width="20.0"/>
    <col customWidth="1" min="4" max="4" width="16.0"/>
    <col customWidth="1" min="5" max="5" width="20.0"/>
    <col customWidth="1" min="6" max="6" width="14.0"/>
    <col customWidth="1" min="7" max="7" width="24.0"/>
    <col customWidth="1" min="8" max="8" width="36.0"/>
    <col customWidth="1" min="9" max="9" width="3.0"/>
    <col customWidth="1" min="10" max="10" width="18.0"/>
    <col customWidth="1" min="11" max="11" width="22.0"/>
    <col customWidth="1" min="12" max="13" width="24.0"/>
    <col customWidth="1" min="14" max="14" width="14.0"/>
    <col customWidth="1" min="15" max="26" width="8.63"/>
  </cols>
  <sheetData>
    <row r="1">
      <c r="A1" s="2" t="s">
        <v>189</v>
      </c>
      <c r="I1" s="3"/>
      <c r="J1" s="2" t="s">
        <v>191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I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 t="s">
        <v>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7" t="s">
        <v>193</v>
      </c>
      <c r="K4" s="7" t="s">
        <v>194</v>
      </c>
      <c r="L4" s="7" t="s">
        <v>195</v>
      </c>
      <c r="M4" s="7" t="s">
        <v>196</v>
      </c>
      <c r="N4" s="7" t="s">
        <v>22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6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15</v>
      </c>
      <c r="G5" s="7" t="s">
        <v>16</v>
      </c>
      <c r="H5" s="7" t="s">
        <v>197</v>
      </c>
      <c r="I5" s="3"/>
      <c r="J5" s="9" t="s">
        <v>198</v>
      </c>
      <c r="K5" s="9" t="s">
        <v>199</v>
      </c>
      <c r="L5" s="9" t="s">
        <v>201</v>
      </c>
      <c r="M5" s="9" t="s">
        <v>202</v>
      </c>
      <c r="N5" s="9" t="s">
        <v>204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28</v>
      </c>
      <c r="B6" s="10">
        <v>46267.0</v>
      </c>
      <c r="C6" s="9" t="s">
        <v>34</v>
      </c>
      <c r="D6" s="12">
        <v>620000.0</v>
      </c>
      <c r="E6" s="9" t="s">
        <v>39</v>
      </c>
      <c r="F6" s="9" t="s">
        <v>40</v>
      </c>
      <c r="G6" s="9" t="s">
        <v>32</v>
      </c>
      <c r="H6" s="9" t="s">
        <v>212</v>
      </c>
      <c r="I6" s="3"/>
      <c r="J6" s="9" t="s">
        <v>213</v>
      </c>
      <c r="K6" s="9" t="s">
        <v>214</v>
      </c>
      <c r="L6" s="9" t="s">
        <v>215</v>
      </c>
      <c r="M6" s="9" t="s">
        <v>216</v>
      </c>
      <c r="N6" s="9" t="s">
        <v>204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77</v>
      </c>
      <c r="B7" s="10">
        <v>46268.0</v>
      </c>
      <c r="C7" s="9" t="s">
        <v>78</v>
      </c>
      <c r="D7" s="12">
        <v>845000.0</v>
      </c>
      <c r="E7" s="9" t="s">
        <v>79</v>
      </c>
      <c r="F7" s="9" t="s">
        <v>80</v>
      </c>
      <c r="G7" s="9" t="s">
        <v>62</v>
      </c>
      <c r="H7" s="9" t="s">
        <v>221</v>
      </c>
      <c r="I7" s="3"/>
      <c r="J7" s="9" t="s">
        <v>224</v>
      </c>
      <c r="K7" s="9" t="s">
        <v>225</v>
      </c>
      <c r="L7" s="9" t="s">
        <v>226</v>
      </c>
      <c r="M7" s="9" t="s">
        <v>227</v>
      </c>
      <c r="N7" s="9" t="s">
        <v>204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64</v>
      </c>
      <c r="B8" s="10">
        <v>46269.0</v>
      </c>
      <c r="C8" s="9" t="s">
        <v>90</v>
      </c>
      <c r="D8" s="12">
        <v>510000.0</v>
      </c>
      <c r="E8" s="9" t="s">
        <v>94</v>
      </c>
      <c r="F8" s="9" t="s">
        <v>69</v>
      </c>
      <c r="G8" s="9" t="s">
        <v>70</v>
      </c>
      <c r="H8" s="9" t="s">
        <v>232</v>
      </c>
      <c r="I8" s="3"/>
      <c r="J8" s="9" t="s">
        <v>234</v>
      </c>
      <c r="K8" s="9" t="s">
        <v>236</v>
      </c>
      <c r="L8" s="9" t="s">
        <v>237</v>
      </c>
      <c r="M8" s="9" t="s">
        <v>238</v>
      </c>
      <c r="N8" s="9" t="s">
        <v>204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102</v>
      </c>
      <c r="B9" s="10">
        <v>46270.0</v>
      </c>
      <c r="C9" s="9" t="s">
        <v>105</v>
      </c>
      <c r="D9" s="12">
        <v>98000.0</v>
      </c>
      <c r="E9" s="9" t="s">
        <v>108</v>
      </c>
      <c r="F9" s="9" t="s">
        <v>40</v>
      </c>
      <c r="G9" s="9" t="s">
        <v>242</v>
      </c>
      <c r="H9" s="9" t="s">
        <v>243</v>
      </c>
      <c r="I9" s="3"/>
      <c r="J9" s="9" t="s">
        <v>244</v>
      </c>
      <c r="K9" s="9" t="s">
        <v>245</v>
      </c>
      <c r="L9" s="9" t="s">
        <v>246</v>
      </c>
      <c r="M9" s="9" t="s">
        <v>247</v>
      </c>
      <c r="N9" s="9" t="s">
        <v>248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81</v>
      </c>
      <c r="B10" s="10">
        <v>46271.0</v>
      </c>
      <c r="C10" s="9" t="s">
        <v>34</v>
      </c>
      <c r="D10" s="12">
        <v>710000.0</v>
      </c>
      <c r="E10" s="9" t="s">
        <v>117</v>
      </c>
      <c r="F10" s="9" t="s">
        <v>80</v>
      </c>
      <c r="G10" s="9" t="s">
        <v>89</v>
      </c>
      <c r="H10" s="9" t="s">
        <v>252</v>
      </c>
      <c r="I10" s="3"/>
      <c r="J10" s="9" t="s">
        <v>253</v>
      </c>
      <c r="K10" s="9" t="s">
        <v>254</v>
      </c>
      <c r="L10" s="9" t="s">
        <v>50</v>
      </c>
      <c r="M10" s="9" t="s">
        <v>255</v>
      </c>
      <c r="N10" s="9" t="s">
        <v>204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91</v>
      </c>
      <c r="B11" s="10">
        <v>46272.0</v>
      </c>
      <c r="C11" s="9" t="s">
        <v>124</v>
      </c>
      <c r="D11" s="12">
        <v>1200000.0</v>
      </c>
      <c r="E11" s="9" t="s">
        <v>39</v>
      </c>
      <c r="F11" s="9" t="s">
        <v>40</v>
      </c>
      <c r="G11" s="9" t="s">
        <v>98</v>
      </c>
      <c r="H11" s="9" t="s">
        <v>256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 t="s">
        <v>101</v>
      </c>
      <c r="B12" s="10">
        <v>46273.0</v>
      </c>
      <c r="C12" s="9" t="s">
        <v>129</v>
      </c>
      <c r="D12" s="12">
        <v>45000.0</v>
      </c>
      <c r="E12" s="9" t="s">
        <v>132</v>
      </c>
      <c r="F12" s="9" t="s">
        <v>40</v>
      </c>
      <c r="G12" s="9" t="s">
        <v>109</v>
      </c>
      <c r="H12" s="9" t="s">
        <v>258</v>
      </c>
      <c r="I12" s="3"/>
      <c r="J12" s="11" t="s">
        <v>259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112</v>
      </c>
      <c r="B13" s="10">
        <v>46273.0</v>
      </c>
      <c r="C13" s="9" t="s">
        <v>78</v>
      </c>
      <c r="D13" s="12">
        <v>930000.0</v>
      </c>
      <c r="E13" s="9" t="s">
        <v>79</v>
      </c>
      <c r="F13" s="9" t="s">
        <v>69</v>
      </c>
      <c r="G13" s="9" t="s">
        <v>116</v>
      </c>
      <c r="H13" s="9" t="s">
        <v>256</v>
      </c>
      <c r="I13" s="3"/>
      <c r="J13" s="23" t="s">
        <v>261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 t="s">
        <v>119</v>
      </c>
      <c r="B14" s="10">
        <v>46274.0</v>
      </c>
      <c r="C14" s="9" t="s">
        <v>90</v>
      </c>
      <c r="D14" s="12"/>
      <c r="E14" s="9" t="s">
        <v>108</v>
      </c>
      <c r="F14" s="9" t="s">
        <v>40</v>
      </c>
      <c r="G14" s="9" t="s">
        <v>123</v>
      </c>
      <c r="H14" s="9" t="s">
        <v>264</v>
      </c>
      <c r="I14" s="3"/>
      <c r="J14" s="22" t="s">
        <v>266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 t="s">
        <v>126</v>
      </c>
      <c r="B15" s="10">
        <v>46275.0</v>
      </c>
      <c r="C15" s="9" t="s">
        <v>34</v>
      </c>
      <c r="D15" s="12">
        <v>680000.0</v>
      </c>
      <c r="E15" s="9" t="s">
        <v>94</v>
      </c>
      <c r="F15" s="9" t="s">
        <v>80</v>
      </c>
      <c r="G15" s="9" t="s">
        <v>131</v>
      </c>
      <c r="H15" s="9" t="s">
        <v>270</v>
      </c>
      <c r="I15" s="3"/>
      <c r="J15" s="23" t="s">
        <v>271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22" t="s">
        <v>272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23" t="s">
        <v>273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22" t="s">
        <v>275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23" t="s">
        <v>276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22" t="s">
        <v>277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J16:N16"/>
    <mergeCell ref="J17:N17"/>
    <mergeCell ref="J18:N18"/>
    <mergeCell ref="J19:N19"/>
    <mergeCell ref="J20:N20"/>
    <mergeCell ref="A1:H2"/>
    <mergeCell ref="J1:N2"/>
    <mergeCell ref="A3:H3"/>
    <mergeCell ref="J12:N12"/>
    <mergeCell ref="J13:N13"/>
    <mergeCell ref="J14:N14"/>
    <mergeCell ref="J15:N1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2.0"/>
    <col customWidth="1" min="3" max="3" width="14.0"/>
    <col customWidth="1" min="4" max="4" width="34.0"/>
    <col customWidth="1" min="5" max="5" width="14.0"/>
    <col customWidth="1" min="6" max="6" width="27.0"/>
    <col customWidth="1" min="7" max="7" width="38.0"/>
    <col customWidth="1" min="8" max="26" width="8.63"/>
  </cols>
  <sheetData>
    <row r="1">
      <c r="A1" s="2" t="s">
        <v>190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 t="s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4" t="s">
        <v>192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200</v>
      </c>
      <c r="B8" s="7" t="s">
        <v>203</v>
      </c>
      <c r="C8" s="7" t="s">
        <v>15</v>
      </c>
      <c r="D8" s="7" t="s">
        <v>205</v>
      </c>
      <c r="E8" s="7" t="s">
        <v>206</v>
      </c>
      <c r="F8" s="7" t="s">
        <v>207</v>
      </c>
      <c r="G8" s="7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28</v>
      </c>
      <c r="B9" s="9" t="s">
        <v>208</v>
      </c>
      <c r="C9" s="9" t="s">
        <v>40</v>
      </c>
      <c r="D9" s="9" t="s">
        <v>209</v>
      </c>
      <c r="E9" s="10">
        <v>46290.0</v>
      </c>
      <c r="F9" s="9" t="s">
        <v>210</v>
      </c>
      <c r="G9" s="9" t="s">
        <v>211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102</v>
      </c>
      <c r="B10" s="9" t="s">
        <v>208</v>
      </c>
      <c r="C10" s="9" t="s">
        <v>40</v>
      </c>
      <c r="D10" s="9" t="s">
        <v>217</v>
      </c>
      <c r="E10" s="10">
        <v>46290.0</v>
      </c>
      <c r="F10" s="9" t="s">
        <v>218</v>
      </c>
      <c r="G10" s="9" t="s">
        <v>219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91</v>
      </c>
      <c r="B11" s="9" t="s">
        <v>208</v>
      </c>
      <c r="C11" s="9" t="s">
        <v>40</v>
      </c>
      <c r="D11" s="9" t="s">
        <v>220</v>
      </c>
      <c r="E11" s="10">
        <v>46290.0</v>
      </c>
      <c r="F11" s="9" t="s">
        <v>222</v>
      </c>
      <c r="G11" s="9" t="s">
        <v>223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 t="s">
        <v>112</v>
      </c>
      <c r="B12" s="9" t="s">
        <v>228</v>
      </c>
      <c r="C12" s="9" t="s">
        <v>69</v>
      </c>
      <c r="D12" s="9" t="s">
        <v>229</v>
      </c>
      <c r="E12" s="10">
        <v>46290.0</v>
      </c>
      <c r="F12" s="9" t="s">
        <v>230</v>
      </c>
      <c r="G12" s="9" t="s">
        <v>231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119</v>
      </c>
      <c r="B13" s="9" t="s">
        <v>208</v>
      </c>
      <c r="C13" s="9" t="s">
        <v>40</v>
      </c>
      <c r="D13" s="9" t="s">
        <v>233</v>
      </c>
      <c r="E13" s="10">
        <v>46290.0</v>
      </c>
      <c r="F13" s="9" t="s">
        <v>218</v>
      </c>
      <c r="G13" s="9" t="s">
        <v>235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 t="s">
        <v>149</v>
      </c>
      <c r="B14" s="9" t="s">
        <v>208</v>
      </c>
      <c r="C14" s="9" t="s">
        <v>40</v>
      </c>
      <c r="D14" s="9" t="s">
        <v>239</v>
      </c>
      <c r="E14" s="10">
        <v>46290.0</v>
      </c>
      <c r="F14" s="9" t="s">
        <v>240</v>
      </c>
      <c r="G14" s="9" t="s">
        <v>241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 t="s">
        <v>155</v>
      </c>
      <c r="B15" s="9" t="s">
        <v>208</v>
      </c>
      <c r="C15" s="9" t="s">
        <v>69</v>
      </c>
      <c r="D15" s="9" t="s">
        <v>249</v>
      </c>
      <c r="E15" s="10">
        <v>46290.0</v>
      </c>
      <c r="F15" s="9" t="s">
        <v>250</v>
      </c>
      <c r="G15" s="9" t="s">
        <v>251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257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5" t="s">
        <v>218</v>
      </c>
      <c r="B19" s="9" t="s">
        <v>260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5" t="s">
        <v>262</v>
      </c>
      <c r="B20" s="9" t="s">
        <v>263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5" t="s">
        <v>265</v>
      </c>
      <c r="B21" s="9" t="s">
        <v>267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5" t="s">
        <v>268</v>
      </c>
      <c r="B22" s="9" t="s">
        <v>269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2"/>
    <mergeCell ref="A3:G3"/>
    <mergeCell ref="A5:G6"/>
    <mergeCell ref="A18:G18"/>
  </mergeCells>
  <conditionalFormatting sqref="B9:B15">
    <cfRule type="expression" dxfId="0" priority="1">
      <formula>B9="HIGH"</formula>
    </cfRule>
  </conditionalFormatting>
  <conditionalFormatting sqref="B9:B15">
    <cfRule type="expression" dxfId="1" priority="2">
      <formula>B9="MEDIUM"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5.0"/>
    <col customWidth="1" min="9" max="26" width="8.63"/>
  </cols>
  <sheetData>
    <row r="1">
      <c r="A1" s="2" t="s">
        <v>274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 t="s">
        <v>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278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279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2" t="s">
        <v>280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3" t="s">
        <v>281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2" t="s">
        <v>282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 t="s">
        <v>283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3" t="s">
        <v>284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2" t="s">
        <v>285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 t="s">
        <v>286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3" t="s">
        <v>287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2" t="s">
        <v>288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289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3" t="s">
        <v>290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2" t="s">
        <v>291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1" t="s">
        <v>292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3" t="s">
        <v>293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2" t="s">
        <v>294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1" t="s">
        <v>295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3" t="s">
        <v>296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1" t="s">
        <v>297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2" t="s">
        <v>298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299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2" t="s">
        <v>300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H2"/>
    <mergeCell ref="A3:H3"/>
    <mergeCell ref="A5:H5"/>
    <mergeCell ref="A7:H7"/>
    <mergeCell ref="A8:H8"/>
    <mergeCell ref="A9:H9"/>
    <mergeCell ref="A10:H10"/>
    <mergeCell ref="A12:H12"/>
    <mergeCell ref="A13:H13"/>
    <mergeCell ref="A14:H14"/>
    <mergeCell ref="A16:H16"/>
    <mergeCell ref="A17:H17"/>
    <mergeCell ref="A18:H18"/>
    <mergeCell ref="A20:H20"/>
    <mergeCell ref="A31:H31"/>
    <mergeCell ref="A32:H32"/>
    <mergeCell ref="A33:H33"/>
    <mergeCell ref="A34:H34"/>
    <mergeCell ref="A21:H21"/>
    <mergeCell ref="A22:H22"/>
    <mergeCell ref="A24:H24"/>
    <mergeCell ref="A25:H25"/>
    <mergeCell ref="A26:H26"/>
    <mergeCell ref="A28:H28"/>
    <mergeCell ref="A29:H2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4" width="15.0"/>
    <col customWidth="1" min="5" max="8" width="18.0"/>
    <col customWidth="1" min="9" max="26" width="8.63"/>
  </cols>
  <sheetData>
    <row r="1">
      <c r="A1" s="2" t="s">
        <v>301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 t="s">
        <v>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6" t="s">
        <v>302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303</v>
      </c>
      <c r="B10" s="27" t="s">
        <v>12</v>
      </c>
      <c r="C10" s="28"/>
      <c r="D10" s="29"/>
      <c r="E10" s="27" t="s">
        <v>304</v>
      </c>
      <c r="F10" s="28"/>
      <c r="G10" s="28"/>
      <c r="H10" s="2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0" t="s">
        <v>305</v>
      </c>
      <c r="B11" s="31" t="s">
        <v>306</v>
      </c>
      <c r="C11" s="28"/>
      <c r="D11" s="29"/>
      <c r="E11" s="31" t="s">
        <v>307</v>
      </c>
      <c r="F11" s="28"/>
      <c r="G11" s="28"/>
      <c r="H11" s="2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2" t="s">
        <v>308</v>
      </c>
      <c r="B12" s="33" t="s">
        <v>309</v>
      </c>
      <c r="C12" s="28"/>
      <c r="D12" s="29"/>
      <c r="E12" s="33" t="s">
        <v>310</v>
      </c>
      <c r="F12" s="28"/>
      <c r="G12" s="28"/>
      <c r="H12" s="2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0" t="s">
        <v>311</v>
      </c>
      <c r="B13" s="31" t="s">
        <v>312</v>
      </c>
      <c r="C13" s="28"/>
      <c r="D13" s="29"/>
      <c r="E13" s="31" t="s">
        <v>313</v>
      </c>
      <c r="F13" s="28"/>
      <c r="G13" s="28"/>
      <c r="H13" s="2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2" t="s">
        <v>314</v>
      </c>
      <c r="B14" s="33" t="s">
        <v>315</v>
      </c>
      <c r="C14" s="28"/>
      <c r="D14" s="29"/>
      <c r="E14" s="33" t="s">
        <v>316</v>
      </c>
      <c r="F14" s="28"/>
      <c r="G14" s="28"/>
      <c r="H14" s="2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0" t="s">
        <v>317</v>
      </c>
      <c r="B15" s="31" t="s">
        <v>318</v>
      </c>
      <c r="C15" s="28"/>
      <c r="D15" s="29"/>
      <c r="E15" s="31" t="s">
        <v>319</v>
      </c>
      <c r="F15" s="28"/>
      <c r="G15" s="28"/>
      <c r="H15" s="2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2" t="s">
        <v>320</v>
      </c>
      <c r="B16" s="33" t="s">
        <v>321</v>
      </c>
      <c r="C16" s="28"/>
      <c r="D16" s="29"/>
      <c r="E16" s="33" t="s">
        <v>322</v>
      </c>
      <c r="F16" s="28"/>
      <c r="G16" s="28"/>
      <c r="H16" s="2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0" t="s">
        <v>323</v>
      </c>
      <c r="B17" s="31" t="s">
        <v>324</v>
      </c>
      <c r="C17" s="28"/>
      <c r="D17" s="29"/>
      <c r="E17" s="31" t="s">
        <v>325</v>
      </c>
      <c r="F17" s="28"/>
      <c r="G17" s="28"/>
      <c r="H17" s="2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2" t="s">
        <v>326</v>
      </c>
      <c r="B18" s="33" t="s">
        <v>327</v>
      </c>
      <c r="C18" s="28"/>
      <c r="D18" s="29"/>
      <c r="E18" s="33" t="s">
        <v>328</v>
      </c>
      <c r="F18" s="28"/>
      <c r="G18" s="28"/>
      <c r="H18" s="2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H2"/>
    <mergeCell ref="A3:H3"/>
    <mergeCell ref="A5:H7"/>
    <mergeCell ref="B10:D10"/>
    <mergeCell ref="E10:H10"/>
    <mergeCell ref="B11:D11"/>
    <mergeCell ref="E11:H11"/>
    <mergeCell ref="B15:D15"/>
    <mergeCell ref="B16:D16"/>
    <mergeCell ref="B17:D17"/>
    <mergeCell ref="B18:D18"/>
    <mergeCell ref="E16:H16"/>
    <mergeCell ref="E17:H17"/>
    <mergeCell ref="E18:H18"/>
    <mergeCell ref="B12:D12"/>
    <mergeCell ref="E12:H12"/>
    <mergeCell ref="B13:D13"/>
    <mergeCell ref="E13:H13"/>
    <mergeCell ref="B14:D14"/>
    <mergeCell ref="E14:H14"/>
    <mergeCell ref="E15:H1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5.0"/>
    <col customWidth="1" min="9" max="26" width="8.63"/>
  </cols>
  <sheetData>
    <row r="1">
      <c r="A1" s="2" t="s">
        <v>329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 t="s">
        <v>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331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332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4" t="s">
        <v>334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 t="s">
        <v>338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7" t="s">
        <v>340</v>
      </c>
      <c r="B14" s="29"/>
      <c r="C14" s="27" t="s">
        <v>341</v>
      </c>
      <c r="D14" s="29"/>
      <c r="E14" s="27"/>
      <c r="F14" s="28"/>
      <c r="G14" s="28"/>
      <c r="H14" s="2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4" t="s">
        <v>344</v>
      </c>
      <c r="C15" s="34" t="s">
        <v>345</v>
      </c>
      <c r="E15" s="3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4" t="s">
        <v>347</v>
      </c>
      <c r="C16" s="34" t="s">
        <v>348</v>
      </c>
      <c r="E16" s="3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4" t="s">
        <v>349</v>
      </c>
      <c r="C17" s="34" t="s">
        <v>350</v>
      </c>
      <c r="E17" s="3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4" t="s">
        <v>352</v>
      </c>
      <c r="C18" s="34" t="s">
        <v>353</v>
      </c>
      <c r="E18" s="3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4" t="s">
        <v>354</v>
      </c>
      <c r="C19" s="34" t="s">
        <v>355</v>
      </c>
      <c r="E19" s="3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4" t="s">
        <v>357</v>
      </c>
      <c r="C20" s="34" t="s">
        <v>358</v>
      </c>
      <c r="E20" s="3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1" t="s">
        <v>362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4" t="s">
        <v>364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4" t="s">
        <v>365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 t="s">
        <v>366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1" t="s">
        <v>368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4" t="s">
        <v>369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4" t="s">
        <v>370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4" t="s">
        <v>371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1" t="s">
        <v>372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4" t="s">
        <v>373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4" t="s">
        <v>374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4" t="s">
        <v>375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C14:D14"/>
    <mergeCell ref="E14:H14"/>
    <mergeCell ref="A1:H2"/>
    <mergeCell ref="A3:H3"/>
    <mergeCell ref="A5:H5"/>
    <mergeCell ref="A7:H7"/>
    <mergeCell ref="A8:H11"/>
    <mergeCell ref="A13:H13"/>
    <mergeCell ref="A14:B14"/>
    <mergeCell ref="C17:D17"/>
    <mergeCell ref="E17:H17"/>
    <mergeCell ref="A15:B15"/>
    <mergeCell ref="C15:D15"/>
    <mergeCell ref="E15:H15"/>
    <mergeCell ref="A16:B16"/>
    <mergeCell ref="C16:D16"/>
    <mergeCell ref="E16:H16"/>
    <mergeCell ref="A17:B17"/>
    <mergeCell ref="C20:D20"/>
    <mergeCell ref="E20:H20"/>
    <mergeCell ref="A18:B18"/>
    <mergeCell ref="C18:D18"/>
    <mergeCell ref="E18:H18"/>
    <mergeCell ref="A19:B19"/>
    <mergeCell ref="C19:D19"/>
    <mergeCell ref="E19:H19"/>
    <mergeCell ref="A20:B20"/>
    <mergeCell ref="A30:H30"/>
    <mergeCell ref="A32:H32"/>
    <mergeCell ref="A33:H33"/>
    <mergeCell ref="A34:H34"/>
    <mergeCell ref="A35:H35"/>
    <mergeCell ref="A22:H22"/>
    <mergeCell ref="A23:H23"/>
    <mergeCell ref="A24:H24"/>
    <mergeCell ref="A25:H25"/>
    <mergeCell ref="A27:H27"/>
    <mergeCell ref="A28:H28"/>
    <mergeCell ref="A29:H2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5.0"/>
    <col customWidth="1" min="9" max="26" width="8.63"/>
  </cols>
  <sheetData>
    <row r="1">
      <c r="A1" s="2" t="s">
        <v>330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 t="s">
        <v>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7" t="s">
        <v>333</v>
      </c>
      <c r="B6" s="28"/>
      <c r="C6" s="29"/>
      <c r="D6" s="27" t="s">
        <v>335</v>
      </c>
      <c r="E6" s="28"/>
      <c r="F6" s="28"/>
      <c r="G6" s="28"/>
      <c r="H6" s="2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5" t="s">
        <v>36</v>
      </c>
      <c r="B7" s="28"/>
      <c r="C7" s="29"/>
      <c r="D7" s="36" t="s">
        <v>336</v>
      </c>
      <c r="E7" s="28"/>
      <c r="F7" s="28"/>
      <c r="G7" s="28"/>
      <c r="H7" s="2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7" t="s">
        <v>337</v>
      </c>
      <c r="B8" s="28"/>
      <c r="C8" s="29"/>
      <c r="D8" s="38" t="s">
        <v>339</v>
      </c>
      <c r="E8" s="28"/>
      <c r="F8" s="28"/>
      <c r="G8" s="28"/>
      <c r="H8" s="2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5" t="s">
        <v>342</v>
      </c>
      <c r="B9" s="28"/>
      <c r="C9" s="29"/>
      <c r="D9" s="36" t="s">
        <v>343</v>
      </c>
      <c r="E9" s="28"/>
      <c r="F9" s="28"/>
      <c r="G9" s="28"/>
      <c r="H9" s="2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7" t="s">
        <v>44</v>
      </c>
      <c r="B10" s="28"/>
      <c r="C10" s="29"/>
      <c r="D10" s="38" t="s">
        <v>346</v>
      </c>
      <c r="E10" s="28"/>
      <c r="F10" s="28"/>
      <c r="G10" s="28"/>
      <c r="H10" s="2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5" t="s">
        <v>45</v>
      </c>
      <c r="B11" s="28"/>
      <c r="C11" s="29"/>
      <c r="D11" s="36" t="s">
        <v>351</v>
      </c>
      <c r="E11" s="28"/>
      <c r="F11" s="28"/>
      <c r="G11" s="28"/>
      <c r="H11" s="2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7" t="s">
        <v>49</v>
      </c>
      <c r="B12" s="28"/>
      <c r="C12" s="29"/>
      <c r="D12" s="38" t="s">
        <v>356</v>
      </c>
      <c r="E12" s="28"/>
      <c r="F12" s="28"/>
      <c r="G12" s="28"/>
      <c r="H12" s="2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5" t="s">
        <v>359</v>
      </c>
      <c r="B13" s="28"/>
      <c r="C13" s="29"/>
      <c r="D13" s="36" t="s">
        <v>360</v>
      </c>
      <c r="E13" s="28"/>
      <c r="F13" s="28"/>
      <c r="G13" s="28"/>
      <c r="H13" s="2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7" t="s">
        <v>361</v>
      </c>
      <c r="B14" s="28"/>
      <c r="C14" s="29"/>
      <c r="D14" s="38" t="s">
        <v>363</v>
      </c>
      <c r="E14" s="28"/>
      <c r="F14" s="28"/>
      <c r="G14" s="28"/>
      <c r="H14" s="2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 t="s">
        <v>367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8:C8"/>
    <mergeCell ref="A9:C9"/>
    <mergeCell ref="A10:C10"/>
    <mergeCell ref="A11:C11"/>
    <mergeCell ref="A12:C12"/>
    <mergeCell ref="A13:C13"/>
    <mergeCell ref="A14:C14"/>
    <mergeCell ref="D9:H9"/>
    <mergeCell ref="D10:H10"/>
    <mergeCell ref="D11:H11"/>
    <mergeCell ref="D12:H12"/>
    <mergeCell ref="D13:H13"/>
    <mergeCell ref="D14:H14"/>
    <mergeCell ref="A17:H19"/>
    <mergeCell ref="A1:H2"/>
    <mergeCell ref="A3:H3"/>
    <mergeCell ref="A6:C6"/>
    <mergeCell ref="D6:H6"/>
    <mergeCell ref="A7:C7"/>
    <mergeCell ref="D7:H7"/>
    <mergeCell ref="D8:H8"/>
  </mergeCells>
  <printOptions/>
  <pageMargins bottom="0.75" footer="0.0" header="0.0" left="0.7" right="0.7" top="0.75"/>
  <pageSetup orientation="landscape"/>
  <drawing r:id="rId1"/>
</worksheet>
</file>